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.sharepoint.com/sites/T0004071/Shared Documents/Team_Ising/Propsal and todo's/2026_Tapeout/measurement_setup/post_lo_lags_pcb/lagd_pcb_jiacong_v2_for_cde/populating_bom_list_jiacong/"/>
    </mc:Choice>
  </mc:AlternateContent>
  <xr:revisionPtr revIDLastSave="643" documentId="8_{A1787662-16A9-4AF6-A50E-3E08E5720EE0}" xr6:coauthVersionLast="47" xr6:coauthVersionMax="47" xr10:uidLastSave="{05B4CCE8-D3B6-4AD0-ABB5-CC1D46FD34BA}"/>
  <bookViews>
    <workbookView xWindow="38265" yWindow="-135" windowWidth="38670" windowHeight="21150" xr2:uid="{61054913-8167-468A-9EA1-A0A80248803F}"/>
  </bookViews>
  <sheets>
    <sheet name="lagd_pcb" sheetId="1" r:id="rId1"/>
  </sheets>
  <definedNames>
    <definedName name="_xlnm.Print_Titles" localSheetId="0">lagd_pcb!$1:$1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F30" i="1"/>
  <c r="I31" i="1"/>
  <c r="F3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3" i="1"/>
  <c r="F75" i="1"/>
  <c r="F74" i="1"/>
  <c r="F71" i="1"/>
  <c r="F70" i="1"/>
  <c r="F69" i="1"/>
  <c r="F68" i="1"/>
  <c r="F66" i="1"/>
  <c r="F65" i="1"/>
  <c r="F37" i="1"/>
  <c r="F41" i="1"/>
  <c r="F42" i="1"/>
  <c r="F43" i="1"/>
  <c r="F44" i="1"/>
  <c r="F45" i="1"/>
  <c r="F46" i="1"/>
  <c r="F47" i="1"/>
  <c r="F50" i="1"/>
  <c r="F51" i="1"/>
  <c r="F52" i="1"/>
  <c r="F54" i="1"/>
  <c r="F55" i="1"/>
  <c r="F56" i="1"/>
  <c r="F57" i="1"/>
  <c r="F58" i="1"/>
  <c r="F59" i="1"/>
  <c r="F60" i="1"/>
  <c r="F61" i="1"/>
  <c r="F63" i="1"/>
  <c r="F35" i="1"/>
  <c r="F34" i="1"/>
  <c r="F22" i="1"/>
  <c r="F23" i="1"/>
  <c r="F24" i="1"/>
  <c r="F26" i="1"/>
  <c r="F27" i="1"/>
  <c r="F28" i="1"/>
  <c r="F29" i="1"/>
  <c r="F32" i="1"/>
  <c r="F21" i="1"/>
  <c r="F20" i="1"/>
  <c r="F6" i="1"/>
  <c r="F7" i="1"/>
  <c r="F8" i="1"/>
  <c r="F9" i="1"/>
  <c r="F11" i="1"/>
  <c r="F12" i="1"/>
  <c r="F13" i="1"/>
  <c r="F14" i="1"/>
  <c r="F15" i="1"/>
  <c r="F16" i="1"/>
  <c r="F17" i="1"/>
  <c r="F19" i="1"/>
  <c r="F4" i="1"/>
  <c r="F3" i="1"/>
</calcChain>
</file>

<file path=xl/sharedStrings.xml><?xml version="1.0" encoding="utf-8"?>
<sst xmlns="http://schemas.openxmlformats.org/spreadsheetml/2006/main" count="358" uniqueCount="285">
  <si>
    <t>Name</t>
  </si>
  <si>
    <t>Description</t>
  </si>
  <si>
    <t>Designator</t>
  </si>
  <si>
    <t>Quantity</t>
  </si>
  <si>
    <t>Test pad</t>
  </si>
  <si>
    <t/>
  </si>
  <si>
    <t>1, 3P3, 3V3, 9V, 10V, 12, 13, CLK _O, GND1, GND2, GND3, GND4, GV0, GV1, HD0, HD1, HDL0, HDL1, HU0, HU1, HUL0, HUL1, JD0, JD1, JDL0, JDL1, JU0, JU1, JUL0, JUL1, m3V, m5V, PDO, PFB, PIR, PIRL, PLLV, VDD1, VDD5V, VDD9V, VDDA1, VDDA2, VDDC, VDDIO, VPLL, VSSm3V</t>
  </si>
  <si>
    <t>100 µF</t>
  </si>
  <si>
    <t>CAP TANT 100UF 20% 6.3V 1411</t>
  </si>
  <si>
    <t>C1, C5, C6, C8, C9, C96, C97, C99, C100, C101, C102, C104, C105, C108, C109, C186, C193, C195, C214, C215, C221, C222, C224, C225, C228, C229, C231, C232, C233, C234, C236, C244, C247, C248, C250, C251</t>
  </si>
  <si>
    <t>100 pF</t>
  </si>
  <si>
    <t>CAP CER 100PF 50V C0G/NP0 0805</t>
  </si>
  <si>
    <t>C2_source_iref1, C2_source_iref2, C2_source_iref3, C2_source_iref4, C2_source_iref5, C2_source_iref_01, C2_source_iref_02, C2_source_iref_03, C2_source_iref_04, C206, C207, C208</t>
  </si>
  <si>
    <t>10000 pF</t>
  </si>
  <si>
    <t>CAP CER 0805 10NF 25V C0G 1%, CAP CER 0805 10NF 100V C0G 1%, .010UF 16.0V, CAP CER 0805 10NF 16V X7R 5%</t>
  </si>
  <si>
    <t>C3, C4, C59, C61, C95, C127, C129, C131, C133, C135, C137, C139, C141, C145, C147, C149, C151, C153, C155, C157, C159, C162, C164, C166, C168, C170, C172, C174, C176, C180, C238, C239, C241</t>
  </si>
  <si>
    <t>470 µF</t>
  </si>
  <si>
    <t>CAP TANT 470UF 20% 4V 2917</t>
  </si>
  <si>
    <t>C7, C10, C11, C98, C103, C106, C107, C110, C189, C190, C223, C226, C227, C230, C235, C245, C246, C249</t>
  </si>
  <si>
    <t>10 µF</t>
  </si>
  <si>
    <t>CAP CER 10UF 16V X5R 0805</t>
  </si>
  <si>
    <t>C12, C33, C47, C58, C60, C111, C112, C113, C114, C204, C209, C237, C240</t>
  </si>
  <si>
    <t>4.7 µF</t>
  </si>
  <si>
    <t>CAP CER 4.7UF 10V X7R 0805</t>
  </si>
  <si>
    <t>C13, C14, C17, C18, C21, C34, C35, C38, C39, C42, C50, C62, C79, C90</t>
  </si>
  <si>
    <t>1 µF</t>
  </si>
  <si>
    <t>CAP CER 1UF 16V X7R 0805</t>
  </si>
  <si>
    <t>C15, C19, C22, C28, C36, C40, C43, C51, C55</t>
  </si>
  <si>
    <t>0.1 µF</t>
  </si>
  <si>
    <t>CAP CER 0.1UF 16V X7R 0805, .100UF 10.0V, CAP CER 0.1UF 50V X7R 0805</t>
  </si>
  <si>
    <t>C16, C20, C25, C37, C41, C46, C115, C117, C119, C121, C123, C125, C128, C130, C132, C134, C136, C138, C140, C142, C146, C148, C150, C152, C154, C156, C158, C160, C163, C165, C167, C169, C171, C173, C175, C177, C181, C187, C188, C191, C192, C194, C196, C199, C201, C203, C205, C211, C212, C213, C216_source_iref1, C216_source_iref2, C216_source_iref3, C216_source_iref4, C216_source_iref5, C216_source_iref_01, C216_source_iref_02, C216_source_iref_03, C216_source_iref_04, C220_SelLoad1, C220_SelLoad2, C220_SelLoad3, C220_SelLoad4, C220_SelLoad5, C220_SelLoad6, C220_SelLoad7, C220_SelLoad8, C242_u_sink_iref_gen1, C242_u_sink_iref_gen2, C242_u_sink_iref_gen3, C242_u_sink_iref_gen5, C242_U_sink_iref_gen4, C243_source_iref1, C243_source_iref2, C243_source_iref3, C243_source_iref4, C243_source_iref5, C243_source_iref_01, C243_source_iref_02, C243_source_iref_03, C243_source_iref_04</t>
  </si>
  <si>
    <t>22µF</t>
  </si>
  <si>
    <t>CAP CER 22UF 6.3V X5R 0805</t>
  </si>
  <si>
    <t>C23, C30, C44, C54, C57</t>
  </si>
  <si>
    <t>2.2 µF</t>
  </si>
  <si>
    <t>CAP CER 2.2UF 25V X7R 0805, CAP0805 X7R 2.2UF 10% 10V</t>
  </si>
  <si>
    <t>C24, C29, C31, C45, C49, C53, C56, C116, C118, C120, C122, C124, C126</t>
  </si>
  <si>
    <t>CAP CER 100UF 4V X5R 0805</t>
  </si>
  <si>
    <t>C26, C27, C48</t>
  </si>
  <si>
    <t>0.068 µF</t>
  </si>
  <si>
    <t>CAP CER 0805 68NF 100V X7R 5%</t>
  </si>
  <si>
    <t>C32, C52</t>
  </si>
  <si>
    <t>CSMD402/100nF</t>
  </si>
  <si>
    <t>smd capaciteit, verp.0402, 100nF</t>
  </si>
  <si>
    <t>C63, C64, C65, C66, C67, C68, C69, C70, C71, C72, C73, C74, C75, C76, C77, C78, C80, C81, C82, C83, C84, C85, C86, C87, C88, C89</t>
  </si>
  <si>
    <t>27 pF</t>
  </si>
  <si>
    <t>CAP CER 27PF 250V NP0 0805</t>
  </si>
  <si>
    <t>C91, C92</t>
  </si>
  <si>
    <t>12 pF</t>
  </si>
  <si>
    <t>CAP CER 12PF 250V NP0 0805</t>
  </si>
  <si>
    <t>C93, C94, C210</t>
  </si>
  <si>
    <t>1000 pF</t>
  </si>
  <si>
    <t>CAP CER 0805 1NF 25V ULTRA STABL</t>
  </si>
  <si>
    <t>C143, C144, C161, C178, C179, C182, C183, C184, C185</t>
  </si>
  <si>
    <t>ES2A</t>
  </si>
  <si>
    <t>DIODE GEN PURP 50V 2A DO214AA</t>
  </si>
  <si>
    <t>D1, D2</t>
  </si>
  <si>
    <t>1-1478979-0</t>
  </si>
  <si>
    <t>E1, E2</t>
  </si>
  <si>
    <t>600 Ohms @ 100 MHz</t>
  </si>
  <si>
    <t>FERRITE BEAD 600 OHM 0805 1LN</t>
  </si>
  <si>
    <t>FB1, FB2, FB3</t>
  </si>
  <si>
    <t>_x0003_</t>
  </si>
  <si>
    <t>CONN HDR 160POS SMD VITA 57.1</t>
  </si>
  <si>
    <t>FMC1</t>
  </si>
  <si>
    <t>USB4085-GF-A</t>
  </si>
  <si>
    <t>J1</t>
  </si>
  <si>
    <t>169-PRS13001-12</t>
  </si>
  <si>
    <t>J2</t>
  </si>
  <si>
    <t>61300311121</t>
  </si>
  <si>
    <t>J3, J4, J5, J8, J9, J10</t>
  </si>
  <si>
    <t>877583016</t>
  </si>
  <si>
    <t>2.00mm Pitch Milli-Grid Header, Through Hole, Vertical, 30 Circuits, 0.38Âµm Gold (Au) Selective Plating, Pocket Tray Packaging, Lead-Free</t>
  </si>
  <si>
    <t>J6</t>
  </si>
  <si>
    <t>SBH11-PBPC-D13-ST-BK</t>
  </si>
  <si>
    <t>J7</t>
  </si>
  <si>
    <t>120 nH</t>
  </si>
  <si>
    <t>FIXED IND 120NH 40MA 12 OHM SMD</t>
  </si>
  <si>
    <t>L1</t>
  </si>
  <si>
    <t>330 nH</t>
  </si>
  <si>
    <t>FIXED IND 330NH 390MA 0.56OHM SM</t>
  </si>
  <si>
    <t>L2</t>
  </si>
  <si>
    <t>FCR7350R</t>
  </si>
  <si>
    <t>CRCW08050000ZSTA</t>
  </si>
  <si>
    <t>0 Ohms Jumper 0.125W, 1/8W Chip Resistor 0805 (2012 Metric) Automotive AEC-Q200 Thick Film</t>
  </si>
  <si>
    <t>CRCW060350R0FKEA</t>
  </si>
  <si>
    <t>Resistor,Thick Film,50 Ohms,0.1 W,1%,SMT,0603,TCR 37 ppm/DegC,Cut Tape</t>
  </si>
  <si>
    <t>R2, R79</t>
  </si>
  <si>
    <t>1 MOhms</t>
  </si>
  <si>
    <t>RES 1 MOHM 1% 1/4W 0805</t>
  </si>
  <si>
    <t>R3_SelLoad1, R3_SelLoad2, R3_SelLoad3, R3_SelLoad4, R3_SelLoad5, R3_SelLoad6, R3_SelLoad7, R3_SelLoad8</t>
  </si>
  <si>
    <t>100 kOhms</t>
  </si>
  <si>
    <t>3430 A2 1% 100K 100PPM 1K RL</t>
  </si>
  <si>
    <t>R4_SelLoad1, R4_SelLoad2, R4_SelLoad3, R4_SelLoad4, R4_SelLoad5, R4_SelLoad6, R4_SelLoad7, R4_SelLoad8, R19, R28, R32</t>
  </si>
  <si>
    <t>10 kOhms</t>
  </si>
  <si>
    <t>3430 A2 1% 10K 100PPM 1K RL, RES 10K OHM 0.1% 1/10W 0805, RES 10K OHM 0.1% 1/5W 0805</t>
  </si>
  <si>
    <t>R5_SelLoad1, R5_SelLoad2, R5_SelLoad3, R5_SelLoad4, R5_SelLoad5, R5_SelLoad6, R5_SelLoad7, R5_SelLoad8, R8_source_iref1, R8_source_iref2, R8_source_iref3, R8_source_iref4, R8_source_iref5, R8_source_iref_01, R8_source_iref_02, R8_source_iref_03, R8_source_iref_04, R12, R16, R20, R26, R29, R34, R35, R36, R40, R41, R44, R46, R77</t>
  </si>
  <si>
    <t>1 kOhms</t>
  </si>
  <si>
    <t>RESHIGHPOWERA 0805 1K 1% 1/2W TC</t>
  </si>
  <si>
    <t>R6_SelLoad1, R6_SelLoad2, R6_SelLoad3, R6_SelLoad4, R6_SelLoad5, R6_SelLoad6, R6_SelLoad7, R6_SelLoad8, R31</t>
  </si>
  <si>
    <t>100 Ohms</t>
  </si>
  <si>
    <t>RES SMD 100 OHM 1% 3/4W 0805, RES SMD 100 OHM 0.1% 1/4W 0805</t>
  </si>
  <si>
    <t>R7_source_iref1, R7_source_iref2, R7_source_iref3, R7_source_iref4, R7_source_iref5, R7_source_iref_01, R7_source_iref_02, R7_source_iref_03, R7_source_iref_04, R51, R52, R53, R54, R55, R56, R57, R58, R59, R60, R61, R62, R63, R64, R65, R66, R67, R68</t>
  </si>
  <si>
    <t>5.1 kOhms</t>
  </si>
  <si>
    <t>RES 5.1K OHM 5% 1/4W 0805</t>
  </si>
  <si>
    <t>R9, R13, R23, R27, R48, R50, R69, R70, R73</t>
  </si>
  <si>
    <t>2 mOhms</t>
  </si>
  <si>
    <t>RES 0.002 OHM 1% 1W 0805</t>
  </si>
  <si>
    <t>R10, R18, R30, R76</t>
  </si>
  <si>
    <t>243 kOhms</t>
  </si>
  <si>
    <t>RES SMD 243K OHM 0.1% 1/4W 0805</t>
  </si>
  <si>
    <t>R11, R24</t>
  </si>
  <si>
    <t>15 kOhms</t>
  </si>
  <si>
    <t>RES SMD 15K OHM 0.1% 1/4W 0805</t>
  </si>
  <si>
    <t>R14, R15, R74, R75</t>
  </si>
  <si>
    <t>36 kOhms</t>
  </si>
  <si>
    <t>3430 A2 1% 36K 100PPM 1K RL</t>
  </si>
  <si>
    <t>R17</t>
  </si>
  <si>
    <t>12.1 kOhms</t>
  </si>
  <si>
    <t>RES SMD 12.1K OHM 0.1% 1/4W 0805</t>
  </si>
  <si>
    <t>R21, R71</t>
  </si>
  <si>
    <t>4.99 kOhms</t>
  </si>
  <si>
    <t>RES SMD 4.99K OHM 0.1% 1/4W 0805</t>
  </si>
  <si>
    <t>R22, R72</t>
  </si>
  <si>
    <t>30.1 kOhms</t>
  </si>
  <si>
    <t>RES SMD 30.1K OHM 0.1% 1/4W 0805</t>
  </si>
  <si>
    <t>R25</t>
  </si>
  <si>
    <t>12 kOhms</t>
  </si>
  <si>
    <t>RES SMD 12K OHM 1% 1/8W 0805</t>
  </si>
  <si>
    <t>R33</t>
  </si>
  <si>
    <t>2 kOhms</t>
  </si>
  <si>
    <t>RES 2K OHM 1% 1/8W 0805</t>
  </si>
  <si>
    <t>R37</t>
  </si>
  <si>
    <t>47 kOhms</t>
  </si>
  <si>
    <t>RES 47K OHM 1% 1/3W 0805</t>
  </si>
  <si>
    <t>R45</t>
  </si>
  <si>
    <t>4.7 kOhms</t>
  </si>
  <si>
    <t>RES 4.7K OHM 1% 1/4W 0805</t>
  </si>
  <si>
    <t>R47</t>
  </si>
  <si>
    <t>3.3 kOhms</t>
  </si>
  <si>
    <t>RES 3.3K OHM 1% 1/4W 0805</t>
  </si>
  <si>
    <t>R49</t>
  </si>
  <si>
    <t>1101M2S3CQE2</t>
  </si>
  <si>
    <t>U1, U52, U53, U54, U55, U56, U57, U58, U59</t>
  </si>
  <si>
    <t>TPS7A5701RTER</t>
  </si>
  <si>
    <t>No Description Available</t>
  </si>
  <si>
    <t>U2, U5, U6, U8, U9</t>
  </si>
  <si>
    <t>TL1963A-33DCYR</t>
  </si>
  <si>
    <t>Single Output Low Noise LDO, 1.5 A, Fixed 3.3 V Output, 2.1 to 20 V Input, 4-pin SOT-223 (DCY), -40 to 125 degC, Green (RoHS &amp; no Sb/Br)</t>
  </si>
  <si>
    <t>U3</t>
  </si>
  <si>
    <t>TPS54KC23RZRR</t>
  </si>
  <si>
    <t>U4, U7</t>
  </si>
  <si>
    <t>CD4066BM96</t>
  </si>
  <si>
    <t>10-pA on-state leakage current, 20-V, 1:1 (SPST), 4-channel analog switch 14-SOIC -55 to 125</t>
  </si>
  <si>
    <t>U5_SelLoad1, U5_SelLoad2, U5_SelLoad3, U5_SelLoad4, U5_SelLoad5, U5_SelLoad6, U5_SelLoad7, U5_SelLoad8</t>
  </si>
  <si>
    <t>ALD1101ASAL</t>
  </si>
  <si>
    <t>U6_U_sink_iref_gen1, U6_U_sink_iref_gen2, U6_U_sink_iref_gen3, U6_U_sink_iref_gen4, U6_U_sink_iref_gen5</t>
  </si>
  <si>
    <t>TLV9061IDBVR</t>
  </si>
  <si>
    <t>Single, 5.5-V, 10-MHz, RRIO operational amplifier for cost-optimized applications 5-SOT-23 -40 to 125</t>
  </si>
  <si>
    <t>U8_source_iref1, U8_source_iref2, U8_source_iref3, U8_source_iref4, U8_source_iref5, U8_source_iref_01, U8_source_iref_02, U8_source_iref_03, U8_source_iref_04</t>
  </si>
  <si>
    <t>BSS138</t>
  </si>
  <si>
    <t>U9_source_iref1, U9_source_iref2, U9_source_iref3, U9_source_iref4, U9_source_iref5, U9_source_iref_01, U9_source_iref_02, U9_source_iref_03, U9_source_iref_04</t>
  </si>
  <si>
    <t>SN74LXCH1T45</t>
  </si>
  <si>
    <t>U10, U11, U12, U13, U15, U16, U17, U18</t>
  </si>
  <si>
    <t>FT4232HQ-Reel</t>
  </si>
  <si>
    <t>Quad High Speed USB To Multipurpose UART/MPSSE IC, 64-pin QFN, Tape and Reel</t>
  </si>
  <si>
    <t>U14</t>
  </si>
  <si>
    <t>93LC56BT-E/OT</t>
  </si>
  <si>
    <t>U19</t>
  </si>
  <si>
    <t>511MLFT</t>
  </si>
  <si>
    <t>U20</t>
  </si>
  <si>
    <t>ICL7660SCBAZ-TDKR</t>
  </si>
  <si>
    <t>U21</t>
  </si>
  <si>
    <t>ALD1117SAL</t>
  </si>
  <si>
    <t>U22_source_iref1, U22_source_iref2, U22_source_iref3, U22_source_iref4, U22_source_iref5, U22_source_iref_01, U22_source_iref_02, U22_source_iref_03, U22_source_iref_04</t>
  </si>
  <si>
    <t>TXU0104PWR</t>
  </si>
  <si>
    <t>Four channel unidirectional level shifter</t>
  </si>
  <si>
    <t>U24, U25, U28, U50</t>
  </si>
  <si>
    <t>BAT54LT1G</t>
  </si>
  <si>
    <t>U29, U32, U34, U35, U36, U37, U38, U39, U40, U41, U42, U43, U44, U45, U46, U47, U48, U49</t>
  </si>
  <si>
    <t>HV9308PJ-G</t>
  </si>
  <si>
    <t>U30</t>
  </si>
  <si>
    <t>TPS7A3901DSCR</t>
  </si>
  <si>
    <t>150-mA, 33-V, low-noise, high-PSRR, dual-channel positive &amp; negative low-dropout voltage regulator 10-WSON -40 to 125</t>
  </si>
  <si>
    <t>U31</t>
  </si>
  <si>
    <t>12 Channel, 8-Bit TrimDACs with Power Shutdown &amp; Mid-Scale Preset</t>
  </si>
  <si>
    <t>U33</t>
  </si>
  <si>
    <t>NUP2202W1T2G</t>
  </si>
  <si>
    <t>U51</t>
  </si>
  <si>
    <t>SIT1533AI-H4-DCC-32.768E</t>
  </si>
  <si>
    <t>XTAL1</t>
  </si>
  <si>
    <t>12 MHz</t>
  </si>
  <si>
    <t>CRYSTAL 12.0000MHZ 18PF SMD</t>
  </si>
  <si>
    <t>Y1</t>
  </si>
  <si>
    <t>16MHz</t>
  </si>
  <si>
    <t>CRYSTAL 16.0000MHZ 18PF SMD</t>
  </si>
  <si>
    <t>Y2</t>
  </si>
  <si>
    <t>CRCW060350R0FKEA VISHAY, SMD Chip Resistor, 50 ohm, ± 1% | Farnell Belgium</t>
  </si>
  <si>
    <t>Link</t>
  </si>
  <si>
    <t>1-1478979-0 AMP - TE CONNECTIVITY, RF / Coaxial Connector, PCB Mount, SMA Coaxial | Farnell Belgium</t>
  </si>
  <si>
    <t>#order@5PCB</t>
  </si>
  <si>
    <t>QT49S-16.000MEEJ-T TXC, Crystal, QT49S Series, 16 MHz | Farnell Belgium</t>
  </si>
  <si>
    <t>ABLS-12.000MHZ-B4-T ABRACON, Crystal, ABLS, 12 MHz | Farnell Belgium</t>
  </si>
  <si>
    <t>TXU0104PWR Texas Instruments | Translators, Level Shifters | DigiKey</t>
  </si>
  <si>
    <t>ALD1117SAL Advanced Linear Devices Inc. | FET, MOSFET Arrays | DigiKey</t>
  </si>
  <si>
    <t>https://be.farnell.com/en-BE/kemet/t520b107m006ate070/cap-100-f-6-3v-20/dp/2395820</t>
  </si>
  <si>
    <t>ICL7660SCBAZ-T RENESAS, DC/DC Charge Pump Adjustable Voltage Regulator, 1.5V to 12V in, -12V to -1.5V/45mA out | Farnell Belgium</t>
  </si>
  <si>
    <t>511MLFT RENESAS, PLL Clock Multiplier, LOCO, 200 MHz | Farnell Belgium</t>
  </si>
  <si>
    <t>93LC56BT-E/OT MICROCHIP, EEPROM, 2 Kbit, 128 x 16bit | Farnell Belgium</t>
  </si>
  <si>
    <t>SN74LXCH1T45DCKR Texas Instruments | Translators, Level Shifters | DigiKey</t>
  </si>
  <si>
    <t>BSS138 ONSEMI, Power MOSFET, N Channel, 50 V | Farnell Belgium</t>
  </si>
  <si>
    <t>ALD1101ASAL Advanced Linear Devices Inc. | FET, MOSFET Arrays | DigiKey</t>
  </si>
  <si>
    <t>CD4066BM96 Texas Instruments | Analog Switches, Multiplexers, Demultiplexers | DigiKey</t>
  </si>
  <si>
    <t>AC0805FR-7W3K3L YAGEO | Chip Resistor - Surface Mount | DigiKey</t>
  </si>
  <si>
    <t>1101M2S3CQE2 C&amp;K COMPONENTS, Slide Switch, SPDT, On-On | Farnell Belgium</t>
  </si>
  <si>
    <t>TL1963A-33DCYR Texas Instruments | Voltage Regulators - Linear, Low Drop Out (LDO) Regulators | DigiKey</t>
  </si>
  <si>
    <t>AC0805FR-7W4K7L YAGEO | Chip Resistor - Surface Mount | DigiKey</t>
  </si>
  <si>
    <t>CRCW08050000ZSTA VISHAY, Zero Ohm Resistor, Jumper, 0805 [2012 Metric] | Farnell Belgium</t>
  </si>
  <si>
    <t>AC0805FR-0712KL YAGEO, SMD Chip Resistor, 12 kohm, ± 1% | Farnell Belgium</t>
  </si>
  <si>
    <t>AC0805FR-102KL YAGEO | Chip Resistor - Surface Mount | DigiKey</t>
  </si>
  <si>
    <t>RP73PF2A30K1BTDF HOLSWORTHY - TE CONNECTIVITY, SMD Chip Resistor, 30.1 kohm, ± 0.1% | Farnell Belgium</t>
  </si>
  <si>
    <t>CGA4J1X5R1C106K125AC TDK, SMD Multilayer Ceramic Capacitor, 10 µF, 16 V | Farnell Belgium</t>
  </si>
  <si>
    <t>C0805F103M5RACTU KEMET, SMD Multilayer Ceramic Capacitor, 0.01 µF, 50 V | Farnell Belgium</t>
  </si>
  <si>
    <t>560112120019 WURTH ELEKTRONIK, SMD Chip Resistor, 5.1 kohm, ± 1% | Farnell Belgium</t>
  </si>
  <si>
    <t>MC01W08051100R MULTICOMP PRO, SMD Chip Resistor, 100 ohm, ± 1% | Farnell Belgium</t>
  </si>
  <si>
    <t>CRCW08051K00FKEA VISHAY, SMD Chip Resistor, 1 kohm, ± 1% | Farnell Belgium</t>
  </si>
  <si>
    <t>MCMR08X103 JTL MULTICOMP PRO, SMD Chip Resistor, Ceramic, 10 kohm | Farnell Belgium</t>
  </si>
  <si>
    <t>CRCW0805100KFKEA VISHAY, SMD Chip Resistor, 100 kohm, ± 1% | Farnell Belgium</t>
  </si>
  <si>
    <t>MCWR08X1004FTL MULTICOMP PRO, SMD Chip Resistor, 1 Mohm, ± 1% | Farnell Belgium</t>
  </si>
  <si>
    <t>https://be.farnell.com/en-BE/cliff-electronic-components/fcr7350y/socket-pcb-4mm-r-a-s16n-pc-yel/dp/1854510</t>
  </si>
  <si>
    <t>SBH11-PBPC-D13-ST-BK Sullins Connector Solutions | Headers, Male Pins | DigiKey</t>
  </si>
  <si>
    <t>0877583016 Molex | Headers, Male Pins | DigiKey</t>
  </si>
  <si>
    <t>61300311121 WURTH ELEKTRONIK, Pin Header, Vertical, Board-to-Board | Farnell Belgium</t>
  </si>
  <si>
    <t>USB4085-GF-A GCT, USB Connector, Charging Connector, USB Type C | Farnell Belgium</t>
  </si>
  <si>
    <t>ASP-134604-01 SAMTEC, Mezzanine Connector, Vita 57 XMC, Array | Farnell Belgium</t>
  </si>
  <si>
    <t>C0805C102F3HACAUTO KEMET, SMD Multilayer Ceramic Capacitor, 1000 pF, 25 V | Farnell Belgium</t>
  </si>
  <si>
    <t>BLM21HE601SH1L Murata Electronics | Ferrite Beads and Chips | DigiKey</t>
  </si>
  <si>
    <t>QSCT251Q120G1GV001E Johanson Technology Inc. | Ceramic Capacitors | DigiKey</t>
  </si>
  <si>
    <t>QSCT251Q270G1GV001E Johanson Technology Inc. | Ceramic Capacitors | DigiKey</t>
  </si>
  <si>
    <t>0402YC104JAT4A KYOCERA AVX, SMD Multilayer Ceramic Capacitor, 0.1 µF, 16 V | Farnell Belgium</t>
  </si>
  <si>
    <t>0805B225K250CT Walsin Technology Corporation | Ceramic Capacitors | DigiKey</t>
  </si>
  <si>
    <t>08056D226KAT2A KYOCERA AVX, SMD Multilayer Ceramic Capacitor, 22 µF, 6.3 V | Farnell Belgium</t>
  </si>
  <si>
    <t>TDCT160W104K1GV001T Johanson Dielectrics Inc. | Ceramic Capacitors | DigiKey</t>
  </si>
  <si>
    <t>0805B105K160CT MULTICOMP PRO, SMD Multilayer Ceramic Capacitor, 1 µF, 16 V | Farnell Belgium</t>
  </si>
  <si>
    <t>0805B475K100CT MULTICOMP PRO, SMD Multilayer Ceramic Capacitor, 4.7 µF, 10 V | Farnell Belgium</t>
  </si>
  <si>
    <t>Farnell Belgium</t>
  </si>
  <si>
    <t>08051A101JAT2A KYOCERA AVX, SMD Multilayer Ceramic Capacitor, 100 pF, 100 V | Farnell Belgium</t>
  </si>
  <si>
    <t>SIT1533AI-H4-DCC-32.768E SiTime | Oscillators | DigiKey</t>
  </si>
  <si>
    <t>NUP4202W1T2G ONSEMI, ESD Protection Device, 14.5 V, SC-88 | Farnell Belgium</t>
  </si>
  <si>
    <t>169-PRS13001-12 Aries Electronics | IC Sockets | DigiKey</t>
  </si>
  <si>
    <t>https://www.win-source.net/products/detail/ftdi-future-technology-devices-international-ltd/ft4232hq-tray.html</t>
  </si>
  <si>
    <t>Part no</t>
  </si>
  <si>
    <t>distributor</t>
  </si>
  <si>
    <t>Populated?</t>
  </si>
  <si>
    <t>A314-ND</t>
  </si>
  <si>
    <t>DIGIKEY</t>
  </si>
  <si>
    <t>Farnell</t>
  </si>
  <si>
    <t>712-QSCT251Q120G1GV001ECT-ND</t>
  </si>
  <si>
    <t>1014-1049-ND</t>
  </si>
  <si>
    <t>296-SN74LXCH1T45DCKRCT-ND</t>
  </si>
  <si>
    <t>13-AC0805FR-7W3K3LCT-ND</t>
  </si>
  <si>
    <t>1014-1001-ND</t>
  </si>
  <si>
    <t>1473-1239-1-ND</t>
  </si>
  <si>
    <t>490-BLM21HE601SH1LCT-ND</t>
  </si>
  <si>
    <t>S9173-ND</t>
  </si>
  <si>
    <t>1292-0805B225K250CT-ND</t>
  </si>
  <si>
    <t>23-0877583016-ND</t>
  </si>
  <si>
    <t>13-AC0805FR-7W4K7LCT-ND</t>
  </si>
  <si>
    <t>709-TDCT160W104K1GV001TCT-ND</t>
  </si>
  <si>
    <t>296-14475-1-ND</t>
  </si>
  <si>
    <t>296-24897-1-ND</t>
  </si>
  <si>
    <t>13-AC0805FR-102KLCT-ND</t>
  </si>
  <si>
    <t>296-TXU0104PWRCT-ND</t>
  </si>
  <si>
    <t>For CDE</t>
  </si>
  <si>
    <t>712-QSCT251Q270G1GV001E</t>
  </si>
  <si>
    <t>Note</t>
  </si>
  <si>
    <t>R1, R38, R39, R42, R43, R78, R80, R81, R82, R83, R84, R85, R86, R87, R88, R89, R90, R91</t>
  </si>
  <si>
    <t>Banana Test Connector</t>
  </si>
  <si>
    <t>FCR7350L</t>
  </si>
  <si>
    <t>P_5V</t>
  </si>
  <si>
    <t>FCR7350W</t>
  </si>
  <si>
    <t>Banana Test Connector, white</t>
  </si>
  <si>
    <t>Banana Test Connector, blue</t>
  </si>
  <si>
    <t>P_IO</t>
  </si>
  <si>
    <t>P_CORE, P_GALENA1, P_GALENA2, P_GND1, P_3.3V_EXT, P_PLL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</si>
</sst>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0" xfId="1"/>
    <xf numFmtId="0" fontId="0" fillId="3" borderId="0" xfId="0" applyFill="1"/>
    <xf numFmtId="0" fontId="0" fillId="0" borderId="2" xfId="0" applyBorder="1"/>
    <xf numFmtId="0" fontId="0" fillId="4" borderId="0" xfId="0" applyFill="1"/>
    <xf numFmtId="0" fontId="3" fillId="3" borderId="0" xfId="0" applyFont="1" applyFill="1"/>
    <xf numFmtId="0" fontId="3" fillId="0" borderId="1" xfId="0" quotePrefix="1" applyFont="1" applyBorder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" fillId="2" borderId="4" xfId="0" applyFont="1" applyFill="1" applyBorder="1"/>
    <xf numFmtId="0" fontId="0" fillId="0" borderId="4" xfId="0" applyBorder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be/en/products/detail/advanced-linear-devices-inc/ALD1101ASAL/2414277" TargetMode="External"/><Relationship Id="rId18" Type="http://schemas.openxmlformats.org/officeDocument/2006/relationships/hyperlink" Target="https://www.digikey.be/en/products/detail/yageo/AC0805FR-7W4K7L/16989051?s=N4IgTCBcDaIOQEEDCAGAHCgrAMQEoFoB2AdQBYBpQgGRAF0BfIA" TargetMode="External"/><Relationship Id="rId26" Type="http://schemas.openxmlformats.org/officeDocument/2006/relationships/hyperlink" Target="https://be.farnell.com/en-BE/multicomp-pro/mc01w08051100r/res-100r-1-0-1w-0805-thick-film/dp/9332375" TargetMode="External"/><Relationship Id="rId39" Type="http://schemas.openxmlformats.org/officeDocument/2006/relationships/hyperlink" Target="https://www.digikey.be/en/products/detail/johanson-technology-inc/QSCT251Q270G1GV001E/1919491?s=N4IgTCBcDaIORgKwEYBKzEGUwHYAMA4gGoAsAoiALoC%2BQA" TargetMode="External"/><Relationship Id="rId21" Type="http://schemas.openxmlformats.org/officeDocument/2006/relationships/hyperlink" Target="https://www.digikey.be/en/products/detail/yageo/AC0805FR-102KL/14008292?s=N4IgTCBcDaIOQEEDCAGAHCgrAMQEoFoBGFMAaQBkQBdAXyA" TargetMode="External"/><Relationship Id="rId34" Type="http://schemas.openxmlformats.org/officeDocument/2006/relationships/hyperlink" Target="https://be.farnell.com/en-BE/gct-global-connector-technology/usb4085-gf-a/usb-conn-2-0-type-c-r-a-rcpt-16pos/dp/2924867" TargetMode="External"/><Relationship Id="rId42" Type="http://schemas.openxmlformats.org/officeDocument/2006/relationships/hyperlink" Target="https://be.farnell.com/en-BE/kyocera-avx/08056d226kat2a/cap-22uf-6-3v-mlcc-0805/dp/3288994" TargetMode="External"/><Relationship Id="rId47" Type="http://schemas.openxmlformats.org/officeDocument/2006/relationships/hyperlink" Target="https://be.farnell.com/en-BE/kyocera-avx/08051a101jat2a/cap-100pf-100v-5-c0g-np0-0805/dp/499171" TargetMode="External"/><Relationship Id="rId50" Type="http://schemas.openxmlformats.org/officeDocument/2006/relationships/hyperlink" Target="https://www.digikey.be/en/products/detail/aries-electronics/169-PRS13001-12/103002?s=N4IgTCBcDaIOQEYBsBOAtABQEoGUEGYAGQhNBCAXQF8g" TargetMode="External"/><Relationship Id="rId7" Type="http://schemas.openxmlformats.org/officeDocument/2006/relationships/hyperlink" Target="https://www.digikey.be/en/products/detail/advanced-linear-devices-inc/ALD1117SAL/2414325?s=N4IgTCBcDaIIIBkAiBGNB2AyokBdAvkA" TargetMode="External"/><Relationship Id="rId2" Type="http://schemas.openxmlformats.org/officeDocument/2006/relationships/hyperlink" Target="https://be.farnell.com/en-BE/amp-te-connectivity/1-1478979-0/rf-coaxial-sma-straight-jack-50ohm/dp/1056377?MER=sy-me-pd-mi-alte" TargetMode="External"/><Relationship Id="rId16" Type="http://schemas.openxmlformats.org/officeDocument/2006/relationships/hyperlink" Target="https://be.farnell.com/en-BE/c-k-components/1101m2s3cqe2/switch-spdt-6a-125vac/dp/1437697" TargetMode="External"/><Relationship Id="rId29" Type="http://schemas.openxmlformats.org/officeDocument/2006/relationships/hyperlink" Target="https://be.farnell.com/en-BE/vishay/crcw0805100kfkea/res-100k-1-0-125w-0805-thick-film/dp/1469860" TargetMode="External"/><Relationship Id="rId11" Type="http://schemas.openxmlformats.org/officeDocument/2006/relationships/hyperlink" Target="https://www.digikey.be/en/products/detail/texas-instruments/SN74LXCH1T45DCKR/16592524" TargetMode="External"/><Relationship Id="rId24" Type="http://schemas.openxmlformats.org/officeDocument/2006/relationships/hyperlink" Target="https://be.farnell.com/en-BE/kemet/c0805f103m5ractu/cap-mlcc-0-01uf-50v-0805/dp/2905312" TargetMode="External"/><Relationship Id="rId32" Type="http://schemas.openxmlformats.org/officeDocument/2006/relationships/hyperlink" Target="https://www.digikey.be/en/products/detail/molex/0877583016/679668?s=N4IgTCBcDaIOQA4DsSCsCDMAGAjANhAF0BfIA" TargetMode="External"/><Relationship Id="rId37" Type="http://schemas.openxmlformats.org/officeDocument/2006/relationships/hyperlink" Target="https://www.digikey.be/en/products/detail/murata-electronics/BLM21HE601SH1L/17184949?s=N4IgTCBcDaIOQCEAyBZMBGAEgUQGwAZ0BlTdJEAXQF8g" TargetMode="External"/><Relationship Id="rId40" Type="http://schemas.openxmlformats.org/officeDocument/2006/relationships/hyperlink" Target="https://be.farnell.com/en-BE/kyocera-avx/0402yc104jat4a/capacitor-0-1uf-x7r-16v-0402/dp/4229428" TargetMode="External"/><Relationship Id="rId45" Type="http://schemas.openxmlformats.org/officeDocument/2006/relationships/hyperlink" Target="https://be.farnell.com/en-BE/multicomp-pro/0805b475k100ct/cap-4-7-f-10v-10-x7r-0805/dp/2496987" TargetMode="External"/><Relationship Id="rId5" Type="http://schemas.openxmlformats.org/officeDocument/2006/relationships/hyperlink" Target="https://be.farnell.com/en-BE/abracon/abls-12-000mhz-b4-t/crystal-12mhz-18pf-hc-49us/dp/2467716" TargetMode="External"/><Relationship Id="rId15" Type="http://schemas.openxmlformats.org/officeDocument/2006/relationships/hyperlink" Target="https://www.digikey.be/en/products/detail/yageo/AC0805FR-7W3K3L/16982191?s=N4IgTCBcDaIOQEEDCAGAHCgrAMQEoFoB2AdQGYBpUgGRAF0BfIA" TargetMode="External"/><Relationship Id="rId23" Type="http://schemas.openxmlformats.org/officeDocument/2006/relationships/hyperlink" Target="https://be.farnell.com/en-BE/tdk/cga4j1x5r1c106k125ac/cap-10-f-16v-10-x5r-0805/dp/2210948" TargetMode="External"/><Relationship Id="rId28" Type="http://schemas.openxmlformats.org/officeDocument/2006/relationships/hyperlink" Target="https://be.farnell.com/en-BE/multicomp-pro/mcmr08x103-jtl/res-10k-5-0-125w-0805-ceramic/dp/2073612" TargetMode="External"/><Relationship Id="rId36" Type="http://schemas.openxmlformats.org/officeDocument/2006/relationships/hyperlink" Target="https://be.farnell.com/en-BE/kemet/c0805c102f3hacauto/cap-1000pf-25v-mlcc-0805/dp/3784231" TargetMode="External"/><Relationship Id="rId49" Type="http://schemas.openxmlformats.org/officeDocument/2006/relationships/hyperlink" Target="https://be.farnell.com/en-BE/onsemi/nup4202w1t2g/diode-esd-protection-5v-sc-88/dp/2533281" TargetMode="External"/><Relationship Id="rId10" Type="http://schemas.openxmlformats.org/officeDocument/2006/relationships/hyperlink" Target="https://be.farnell.com/en-BE/microchip/93lc56bt-e-ot/eeprom-2kbit-serial-2mhz-sot-23/dp/2851647" TargetMode="External"/><Relationship Id="rId19" Type="http://schemas.openxmlformats.org/officeDocument/2006/relationships/hyperlink" Target="https://be.farnell.com/en-BE/vishay/crcw08050000zsta/res-0r-0-125w-0805-thick-film/dp/1652903" TargetMode="External"/><Relationship Id="rId31" Type="http://schemas.openxmlformats.org/officeDocument/2006/relationships/hyperlink" Target="https://www.digikey.be/en/products/detail/sullins-connector-solutions/SBH11-PBPC-D13-ST-BK/1990066?s=N4IgTCBcDaIOQGUBCAJAjGgtABSdgwpgCJoDMmCAKpkgNIgC6AvkA" TargetMode="External"/><Relationship Id="rId44" Type="http://schemas.openxmlformats.org/officeDocument/2006/relationships/hyperlink" Target="https://be.farnell.com/en-BE/multicomp-pro/0805b105k160ct/cap-1-f-16v-10-x7r-0805/dp/2496946" TargetMode="External"/><Relationship Id="rId4" Type="http://schemas.openxmlformats.org/officeDocument/2006/relationships/hyperlink" Target="https://be.farnell.com/en-BE/txc/qt49s-16-000meej-t/xtal-16mhz-18pf-smd-12-7mm-x-4/dp/4200063" TargetMode="External"/><Relationship Id="rId9" Type="http://schemas.openxmlformats.org/officeDocument/2006/relationships/hyperlink" Target="https://be.farnell.com/en-BE/renesas/511mlft/pll-clock-multiplier-200mhz-0to70deg/dp/3262835" TargetMode="External"/><Relationship Id="rId14" Type="http://schemas.openxmlformats.org/officeDocument/2006/relationships/hyperlink" Target="https://www.digikey.be/en/products/detail/texas-instruments/CD4066BM96/555773" TargetMode="External"/><Relationship Id="rId22" Type="http://schemas.openxmlformats.org/officeDocument/2006/relationships/hyperlink" Target="https://be.farnell.com/en-BE/holsworthy-te-connectivity/rp73pf2a30k1btdf/res-30k1-0-1-0-25w-0805-thin-film/dp/2117318" TargetMode="External"/><Relationship Id="rId27" Type="http://schemas.openxmlformats.org/officeDocument/2006/relationships/hyperlink" Target="https://be.farnell.com/en-BE/vishay/crcw08051k00fkea/res-1k-1-0-125w-0805-thick-film/dp/1469847" TargetMode="External"/><Relationship Id="rId30" Type="http://schemas.openxmlformats.org/officeDocument/2006/relationships/hyperlink" Target="https://be.farnell.com/en-BE/multicomp-pro/mcwr08x1004ftl/res-1m-1-0-125w-0805-thick-film/dp/2447596" TargetMode="External"/><Relationship Id="rId35" Type="http://schemas.openxmlformats.org/officeDocument/2006/relationships/hyperlink" Target="https://be.farnell.com/en-BE/samtec/asp-134604-01/conn-vita-57-fmc-header-160pos/dp/2433507" TargetMode="External"/><Relationship Id="rId43" Type="http://schemas.openxmlformats.org/officeDocument/2006/relationships/hyperlink" Target="https://www.digikey.be/en/products/detail/johanson-dielectrics-inc/TDCT160W104K1GV001T/1859428?s=N4IgTCBcDaIOQEYBsAGASggrAdQSgLANIBq%2BAKiALoC%2BQA" TargetMode="External"/><Relationship Id="rId48" Type="http://schemas.openxmlformats.org/officeDocument/2006/relationships/hyperlink" Target="https://www.digikey.be/en/products/detail/sitime/SIT1533AI-H4-DCC-32-768E/4898150?s=N4IgTCBcDaIOQGUCSAVAjAVgMxYIJIFoAJAFgIBEBhSgrMAOgHYA2ADgFEQBdAXyA" TargetMode="External"/><Relationship Id="rId8" Type="http://schemas.openxmlformats.org/officeDocument/2006/relationships/hyperlink" Target="https://be.farnell.com/en-BE/renesas/icl7660scbaz-t/dc-dc-charge-pump-doubler-inv/dp/2983598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be.farnell.com/en-BE/kemet/t520b107m006ate070/cap-100-f-6-3v-20/dp/2395820" TargetMode="External"/><Relationship Id="rId12" Type="http://schemas.openxmlformats.org/officeDocument/2006/relationships/hyperlink" Target="https://be.farnell.com/en-BE/onsemi/bss138/mosfet-n-chan-50v-220ma-sot-23/dp/9845330" TargetMode="External"/><Relationship Id="rId17" Type="http://schemas.openxmlformats.org/officeDocument/2006/relationships/hyperlink" Target="https://www.digikey.be/en/products/detail/texas-instruments/TL1963A-33DCYR/2118656" TargetMode="External"/><Relationship Id="rId25" Type="http://schemas.openxmlformats.org/officeDocument/2006/relationships/hyperlink" Target="https://be.farnell.com/en-BE/wurth-elektronik/560112120019/resistor-5k1-0-25w-thick-film/dp/4352078" TargetMode="External"/><Relationship Id="rId33" Type="http://schemas.openxmlformats.org/officeDocument/2006/relationships/hyperlink" Target="https://be.farnell.com/en-BE/wurth-elektronik/61300311121/header-2-54mm-pin-tht-vertical/dp/2356154" TargetMode="External"/><Relationship Id="rId38" Type="http://schemas.openxmlformats.org/officeDocument/2006/relationships/hyperlink" Target="https://www.digikey.be/en/products/detail/johanson-technology-inc/QSCT251Q120G1GV001E/1919438?s=N4IgTCBcDaIORgKwEYBKzEGVlgAwHEA1AFgFEQBdAXyA" TargetMode="External"/><Relationship Id="rId46" Type="http://schemas.openxmlformats.org/officeDocument/2006/relationships/hyperlink" Target="https://be.farnell.com/en-BE/vishay/293d477x9010e2te3/cap-470-f-10v-10-2917/dp/2353079" TargetMode="External"/><Relationship Id="rId20" Type="http://schemas.openxmlformats.org/officeDocument/2006/relationships/hyperlink" Target="https://be.farnell.com/en-BE/yageo/ac0805fr-0712kl/res-12k-1-0-125w-thick-film-0805/dp/4004387" TargetMode="External"/><Relationship Id="rId41" Type="http://schemas.openxmlformats.org/officeDocument/2006/relationships/hyperlink" Target="https://www.digikey.be/en/products/detail/walsin-technology-corporation/0805B225K250CT/14836806?s=N4IgTCBcDaIOQAYAcCCsAhMZUGlsIGEAVEAXQF8g" TargetMode="External"/><Relationship Id="rId1" Type="http://schemas.openxmlformats.org/officeDocument/2006/relationships/hyperlink" Target="https://be.farnell.com/en-BE/vishay/crcw060350r0fkea/res-50r-1-0-1w-0603-thick-film/dp/2112878" TargetMode="External"/><Relationship Id="rId6" Type="http://schemas.openxmlformats.org/officeDocument/2006/relationships/hyperlink" Target="https://www.digikey.be/en/products/detail/texas-instruments/TXU0104PWR/14641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9FC0-5657-450E-A618-70DC937437F6}">
  <dimension ref="A1:J75"/>
  <sheetViews>
    <sheetView tabSelected="1" workbookViewId="0">
      <pane ySplit="1" topLeftCell="A11" activePane="bottomLeft" state="frozen"/>
      <selection pane="bottomLeft" activeCell="B53" sqref="B53"/>
    </sheetView>
  </sheetViews>
  <sheetFormatPr defaultRowHeight="15" x14ac:dyDescent="0.25"/>
  <cols>
    <col min="1" max="1" width="19.7109375" customWidth="1"/>
    <col min="2" max="2" width="48.85546875" customWidth="1"/>
    <col min="3" max="3" width="60.140625" customWidth="1"/>
    <col min="4" max="4" width="19.7109375" customWidth="1"/>
    <col min="5" max="5" width="28.140625" customWidth="1"/>
    <col min="6" max="6" width="12.85546875" customWidth="1"/>
    <col min="7" max="7" width="31.7109375" style="15" bestFit="1" customWidth="1"/>
    <col min="8" max="8" width="10.5703125" style="13" bestFit="1" customWidth="1"/>
    <col min="9" max="9" width="11.140625" bestFit="1" customWidth="1"/>
    <col min="10" max="10" width="22.7109375" style="17" bestFit="1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G1" s="14" t="s">
        <v>251</v>
      </c>
      <c r="H1" s="12" t="s">
        <v>252</v>
      </c>
      <c r="I1" s="11" t="s">
        <v>253</v>
      </c>
      <c r="J1" s="16" t="s">
        <v>275</v>
      </c>
    </row>
    <row r="2" spans="1:10" x14ac:dyDescent="0.25">
      <c r="A2" s="2" t="s">
        <v>4</v>
      </c>
      <c r="B2" s="2" t="s">
        <v>5</v>
      </c>
      <c r="C2" s="2" t="s">
        <v>6</v>
      </c>
      <c r="D2" s="1">
        <v>46</v>
      </c>
      <c r="E2" t="s">
        <v>198</v>
      </c>
      <c r="F2" t="s">
        <v>200</v>
      </c>
      <c r="G2" s="18" t="s">
        <v>273</v>
      </c>
      <c r="H2" s="18"/>
      <c r="I2" s="18"/>
      <c r="J2" s="18"/>
    </row>
    <row r="3" spans="1:10" x14ac:dyDescent="0.25">
      <c r="A3" s="2" t="s">
        <v>7</v>
      </c>
      <c r="B3" s="2" t="s">
        <v>8</v>
      </c>
      <c r="C3" s="2" t="s">
        <v>9</v>
      </c>
      <c r="D3" s="1">
        <v>36</v>
      </c>
      <c r="E3" s="5" t="s">
        <v>205</v>
      </c>
      <c r="F3" s="9">
        <f>D3*5</f>
        <v>180</v>
      </c>
      <c r="G3" s="15">
        <v>2395820</v>
      </c>
      <c r="H3" s="13" t="s">
        <v>256</v>
      </c>
      <c r="I3">
        <f>IF(E3&lt;&gt;"", 1, 0)</f>
        <v>1</v>
      </c>
    </row>
    <row r="4" spans="1:10" x14ac:dyDescent="0.25">
      <c r="A4" s="2" t="s">
        <v>10</v>
      </c>
      <c r="B4" s="2" t="s">
        <v>11</v>
      </c>
      <c r="C4" s="2" t="s">
        <v>12</v>
      </c>
      <c r="D4" s="1">
        <v>12</v>
      </c>
      <c r="E4" s="5" t="s">
        <v>246</v>
      </c>
      <c r="F4" s="6">
        <f>D4*5</f>
        <v>60</v>
      </c>
      <c r="G4" s="15">
        <v>499171</v>
      </c>
      <c r="H4" s="13" t="s">
        <v>256</v>
      </c>
      <c r="I4">
        <f>IF(E4&lt;&gt;"", 1, 0)</f>
        <v>1</v>
      </c>
    </row>
    <row r="5" spans="1:10" x14ac:dyDescent="0.25">
      <c r="A5" s="2" t="s">
        <v>13</v>
      </c>
      <c r="B5" s="2" t="s">
        <v>14</v>
      </c>
      <c r="C5" s="2" t="s">
        <v>15</v>
      </c>
      <c r="D5" s="1">
        <v>33</v>
      </c>
      <c r="E5" s="5" t="s">
        <v>222</v>
      </c>
      <c r="F5" s="6">
        <v>170</v>
      </c>
      <c r="G5" s="15">
        <v>2905312</v>
      </c>
      <c r="H5" s="13" t="s">
        <v>256</v>
      </c>
      <c r="I5">
        <f>IF(E5&lt;&gt;"", 1, 0)</f>
        <v>1</v>
      </c>
    </row>
    <row r="6" spans="1:10" x14ac:dyDescent="0.25">
      <c r="A6" s="2" t="s">
        <v>16</v>
      </c>
      <c r="B6" s="2" t="s">
        <v>17</v>
      </c>
      <c r="C6" s="2" t="s">
        <v>18</v>
      </c>
      <c r="D6" s="1">
        <v>18</v>
      </c>
      <c r="E6" s="5" t="s">
        <v>245</v>
      </c>
      <c r="F6" s="6">
        <f>D6*5</f>
        <v>90</v>
      </c>
      <c r="G6" s="15">
        <v>2353079</v>
      </c>
      <c r="H6" s="13" t="s">
        <v>256</v>
      </c>
      <c r="I6">
        <f>IF(E6&lt;&gt;"", 1, 0)</f>
        <v>1</v>
      </c>
    </row>
    <row r="7" spans="1:10" x14ac:dyDescent="0.25">
      <c r="A7" s="2" t="s">
        <v>19</v>
      </c>
      <c r="B7" s="2" t="s">
        <v>20</v>
      </c>
      <c r="C7" s="2" t="s">
        <v>21</v>
      </c>
      <c r="D7" s="1">
        <v>13</v>
      </c>
      <c r="E7" s="5" t="s">
        <v>221</v>
      </c>
      <c r="F7" s="6">
        <f>D7*5</f>
        <v>65</v>
      </c>
      <c r="G7" s="15">
        <v>2210948</v>
      </c>
      <c r="H7" s="13" t="s">
        <v>256</v>
      </c>
      <c r="I7">
        <f>IF(E7&lt;&gt;"", 1, 0)</f>
        <v>1</v>
      </c>
    </row>
    <row r="8" spans="1:10" x14ac:dyDescent="0.25">
      <c r="A8" s="2" t="s">
        <v>22</v>
      </c>
      <c r="B8" s="2" t="s">
        <v>23</v>
      </c>
      <c r="C8" s="2" t="s">
        <v>24</v>
      </c>
      <c r="D8" s="1">
        <v>14</v>
      </c>
      <c r="E8" s="5" t="s">
        <v>244</v>
      </c>
      <c r="F8" s="6">
        <f>D8*5</f>
        <v>70</v>
      </c>
      <c r="G8" s="15">
        <v>2496987</v>
      </c>
      <c r="H8" s="13" t="s">
        <v>256</v>
      </c>
      <c r="I8">
        <f>IF(E8&lt;&gt;"", 1, 0)</f>
        <v>1</v>
      </c>
    </row>
    <row r="9" spans="1:10" x14ac:dyDescent="0.25">
      <c r="A9" s="2" t="s">
        <v>25</v>
      </c>
      <c r="B9" s="2" t="s">
        <v>26</v>
      </c>
      <c r="C9" s="2" t="s">
        <v>27</v>
      </c>
      <c r="D9" s="1">
        <v>9</v>
      </c>
      <c r="E9" s="5" t="s">
        <v>243</v>
      </c>
      <c r="F9" s="6">
        <f>D9*5</f>
        <v>45</v>
      </c>
      <c r="G9" s="15">
        <v>2496946</v>
      </c>
      <c r="H9" s="13" t="s">
        <v>256</v>
      </c>
      <c r="I9">
        <f>IF(E9&lt;&gt;"", 1, 0)</f>
        <v>1</v>
      </c>
    </row>
    <row r="10" spans="1:10" x14ac:dyDescent="0.25">
      <c r="A10" s="2" t="s">
        <v>28</v>
      </c>
      <c r="B10" s="2" t="s">
        <v>29</v>
      </c>
      <c r="C10" s="2" t="s">
        <v>30</v>
      </c>
      <c r="D10" s="1">
        <v>81</v>
      </c>
      <c r="E10" s="5" t="s">
        <v>242</v>
      </c>
      <c r="F10" s="6">
        <v>500</v>
      </c>
      <c r="G10" s="15" t="s">
        <v>268</v>
      </c>
      <c r="H10" s="13" t="s">
        <v>255</v>
      </c>
      <c r="I10">
        <f>IF(E10&lt;&gt;"", 1, 0)</f>
        <v>1</v>
      </c>
    </row>
    <row r="11" spans="1:10" x14ac:dyDescent="0.25">
      <c r="A11" s="2" t="s">
        <v>31</v>
      </c>
      <c r="B11" s="2" t="s">
        <v>32</v>
      </c>
      <c r="C11" s="2" t="s">
        <v>33</v>
      </c>
      <c r="D11" s="1">
        <v>5</v>
      </c>
      <c r="E11" s="5" t="s">
        <v>241</v>
      </c>
      <c r="F11" s="6">
        <f>D11*5</f>
        <v>25</v>
      </c>
      <c r="G11" s="15">
        <v>3288994</v>
      </c>
      <c r="H11" s="13" t="s">
        <v>256</v>
      </c>
      <c r="I11">
        <f>IF(E11&lt;&gt;"", 1, 0)</f>
        <v>1</v>
      </c>
    </row>
    <row r="12" spans="1:10" x14ac:dyDescent="0.25">
      <c r="A12" s="2" t="s">
        <v>34</v>
      </c>
      <c r="B12" s="2" t="s">
        <v>35</v>
      </c>
      <c r="C12" s="2" t="s">
        <v>36</v>
      </c>
      <c r="D12" s="1">
        <v>13</v>
      </c>
      <c r="E12" s="5" t="s">
        <v>240</v>
      </c>
      <c r="F12" s="6">
        <f>D12*5</f>
        <v>65</v>
      </c>
      <c r="G12" s="15" t="s">
        <v>265</v>
      </c>
      <c r="H12" s="13" t="s">
        <v>255</v>
      </c>
      <c r="I12">
        <f>IF(E12&lt;&gt;"", 1, 0)</f>
        <v>1</v>
      </c>
    </row>
    <row r="13" spans="1:10" x14ac:dyDescent="0.25">
      <c r="A13" s="2" t="s">
        <v>7</v>
      </c>
      <c r="B13" s="2" t="s">
        <v>37</v>
      </c>
      <c r="C13" s="2" t="s">
        <v>38</v>
      </c>
      <c r="D13" s="1">
        <v>3</v>
      </c>
      <c r="F13" s="8">
        <f>D13*5</f>
        <v>15</v>
      </c>
      <c r="I13">
        <f>IF(E13&lt;&gt;"", 1, 0)</f>
        <v>0</v>
      </c>
    </row>
    <row r="14" spans="1:10" x14ac:dyDescent="0.25">
      <c r="A14" s="2" t="s">
        <v>39</v>
      </c>
      <c r="B14" s="2" t="s">
        <v>40</v>
      </c>
      <c r="C14" s="2" t="s">
        <v>41</v>
      </c>
      <c r="D14" s="1">
        <v>2</v>
      </c>
      <c r="F14" s="8">
        <f>D14*5</f>
        <v>10</v>
      </c>
      <c r="I14">
        <f>IF(E14&lt;&gt;"", 1, 0)</f>
        <v>0</v>
      </c>
    </row>
    <row r="15" spans="1:10" x14ac:dyDescent="0.25">
      <c r="A15" s="2" t="s">
        <v>42</v>
      </c>
      <c r="B15" s="2" t="s">
        <v>43</v>
      </c>
      <c r="C15" s="2" t="s">
        <v>44</v>
      </c>
      <c r="D15" s="1">
        <v>26</v>
      </c>
      <c r="E15" s="5" t="s">
        <v>239</v>
      </c>
      <c r="F15" s="6">
        <f>D15*5</f>
        <v>130</v>
      </c>
      <c r="G15" s="15">
        <v>4229428</v>
      </c>
      <c r="H15" s="13" t="s">
        <v>256</v>
      </c>
      <c r="I15">
        <f>IF(E15&lt;&gt;"", 1, 0)</f>
        <v>1</v>
      </c>
    </row>
    <row r="16" spans="1:10" x14ac:dyDescent="0.25">
      <c r="A16" s="2" t="s">
        <v>45</v>
      </c>
      <c r="B16" s="2" t="s">
        <v>46</v>
      </c>
      <c r="C16" s="2" t="s">
        <v>47</v>
      </c>
      <c r="D16" s="1">
        <v>2</v>
      </c>
      <c r="E16" s="5" t="s">
        <v>238</v>
      </c>
      <c r="F16" s="6">
        <f>D16*5</f>
        <v>10</v>
      </c>
      <c r="G16" s="15" t="s">
        <v>274</v>
      </c>
      <c r="H16" s="13" t="s">
        <v>255</v>
      </c>
      <c r="I16">
        <f>IF(E16&lt;&gt;"", 1, 0)</f>
        <v>1</v>
      </c>
    </row>
    <row r="17" spans="1:9" x14ac:dyDescent="0.25">
      <c r="A17" s="2" t="s">
        <v>48</v>
      </c>
      <c r="B17" s="2" t="s">
        <v>49</v>
      </c>
      <c r="C17" s="2" t="s">
        <v>50</v>
      </c>
      <c r="D17" s="1">
        <v>3</v>
      </c>
      <c r="E17" s="5" t="s">
        <v>237</v>
      </c>
      <c r="F17" s="6">
        <f>D17*5</f>
        <v>15</v>
      </c>
      <c r="G17" s="15" t="s">
        <v>257</v>
      </c>
      <c r="H17" s="13" t="s">
        <v>255</v>
      </c>
      <c r="I17">
        <f>IF(E17&lt;&gt;"", 1, 0)</f>
        <v>1</v>
      </c>
    </row>
    <row r="18" spans="1:9" x14ac:dyDescent="0.25">
      <c r="A18" s="2" t="s">
        <v>51</v>
      </c>
      <c r="B18" s="2" t="s">
        <v>52</v>
      </c>
      <c r="C18" s="2" t="s">
        <v>53</v>
      </c>
      <c r="D18" s="1">
        <v>9</v>
      </c>
      <c r="E18" s="5" t="s">
        <v>235</v>
      </c>
      <c r="F18" s="6">
        <v>50</v>
      </c>
      <c r="G18" s="15">
        <v>3784231</v>
      </c>
      <c r="H18" s="13" t="s">
        <v>256</v>
      </c>
      <c r="I18">
        <f>IF(E18&lt;&gt;"", 1, 0)</f>
        <v>1</v>
      </c>
    </row>
    <row r="19" spans="1:9" x14ac:dyDescent="0.25">
      <c r="A19" s="2" t="s">
        <v>54</v>
      </c>
      <c r="B19" s="2" t="s">
        <v>55</v>
      </c>
      <c r="C19" s="2" t="s">
        <v>56</v>
      </c>
      <c r="D19" s="1">
        <v>2</v>
      </c>
      <c r="F19" s="8">
        <f>D19*5</f>
        <v>10</v>
      </c>
      <c r="I19">
        <f>IF(E19&lt;&gt;"", 1, 0)</f>
        <v>0</v>
      </c>
    </row>
    <row r="20" spans="1:9" x14ac:dyDescent="0.25">
      <c r="A20" s="2" t="s">
        <v>57</v>
      </c>
      <c r="B20" s="2" t="s">
        <v>5</v>
      </c>
      <c r="C20" s="2" t="s">
        <v>58</v>
      </c>
      <c r="D20" s="1">
        <v>2</v>
      </c>
      <c r="E20" s="5" t="s">
        <v>199</v>
      </c>
      <c r="F20" s="6">
        <f>D20*5</f>
        <v>10</v>
      </c>
      <c r="G20" s="15">
        <v>1056377</v>
      </c>
      <c r="H20" s="13" t="s">
        <v>256</v>
      </c>
      <c r="I20">
        <f>IF(E20&lt;&gt;"", 1, 0)</f>
        <v>1</v>
      </c>
    </row>
    <row r="21" spans="1:9" x14ac:dyDescent="0.25">
      <c r="A21" s="2" t="s">
        <v>59</v>
      </c>
      <c r="B21" s="2" t="s">
        <v>60</v>
      </c>
      <c r="C21" s="2" t="s">
        <v>61</v>
      </c>
      <c r="D21" s="1">
        <v>3</v>
      </c>
      <c r="E21" s="5" t="s">
        <v>236</v>
      </c>
      <c r="F21" s="6">
        <f>D21*5</f>
        <v>15</v>
      </c>
      <c r="G21" s="15" t="s">
        <v>263</v>
      </c>
      <c r="H21" s="13" t="s">
        <v>255</v>
      </c>
      <c r="I21">
        <f>IF(E21&lt;&gt;"", 1, 0)</f>
        <v>1</v>
      </c>
    </row>
    <row r="22" spans="1:9" x14ac:dyDescent="0.25">
      <c r="A22" s="2" t="s">
        <v>62</v>
      </c>
      <c r="B22" s="2" t="s">
        <v>63</v>
      </c>
      <c r="C22" s="2" t="s">
        <v>64</v>
      </c>
      <c r="D22" s="1">
        <v>1</v>
      </c>
      <c r="E22" s="5" t="s">
        <v>234</v>
      </c>
      <c r="F22" s="6">
        <f>D22*5</f>
        <v>5</v>
      </c>
      <c r="G22" s="15">
        <v>2433507</v>
      </c>
      <c r="H22" s="13" t="s">
        <v>256</v>
      </c>
      <c r="I22">
        <f>IF(E22&lt;&gt;"", 1, 0)</f>
        <v>1</v>
      </c>
    </row>
    <row r="23" spans="1:9" x14ac:dyDescent="0.25">
      <c r="A23" s="2" t="s">
        <v>65</v>
      </c>
      <c r="B23" s="2" t="s">
        <v>1</v>
      </c>
      <c r="C23" s="2" t="s">
        <v>66</v>
      </c>
      <c r="D23" s="1">
        <v>1</v>
      </c>
      <c r="E23" s="5" t="s">
        <v>233</v>
      </c>
      <c r="F23" s="6">
        <f>D23*5</f>
        <v>5</v>
      </c>
      <c r="G23" s="15">
        <v>2924867</v>
      </c>
      <c r="H23" s="13" t="s">
        <v>256</v>
      </c>
      <c r="I23">
        <f>IF(E23&lt;&gt;"", 1, 0)</f>
        <v>1</v>
      </c>
    </row>
    <row r="24" spans="1:9" x14ac:dyDescent="0.25">
      <c r="A24" s="2" t="s">
        <v>67</v>
      </c>
      <c r="B24" s="2" t="s">
        <v>1</v>
      </c>
      <c r="C24" s="2" t="s">
        <v>68</v>
      </c>
      <c r="D24" s="1">
        <v>1</v>
      </c>
      <c r="E24" s="5" t="s">
        <v>249</v>
      </c>
      <c r="F24" s="6">
        <f>D24*5</f>
        <v>5</v>
      </c>
      <c r="G24" s="15" t="s">
        <v>254</v>
      </c>
      <c r="H24" s="13" t="s">
        <v>255</v>
      </c>
      <c r="I24">
        <f>IF(E24&lt;&gt;"", 1, 0)</f>
        <v>1</v>
      </c>
    </row>
    <row r="25" spans="1:9" x14ac:dyDescent="0.25">
      <c r="A25" s="2" t="s">
        <v>69</v>
      </c>
      <c r="B25" s="2" t="s">
        <v>5</v>
      </c>
      <c r="C25" s="2" t="s">
        <v>70</v>
      </c>
      <c r="D25" s="1">
        <v>6</v>
      </c>
      <c r="E25" s="5" t="s">
        <v>232</v>
      </c>
      <c r="F25" s="6">
        <v>100</v>
      </c>
      <c r="G25" s="15">
        <v>2356154</v>
      </c>
      <c r="H25" s="13" t="s">
        <v>256</v>
      </c>
      <c r="I25">
        <f>IF(E25&lt;&gt;"", 1, 0)</f>
        <v>1</v>
      </c>
    </row>
    <row r="26" spans="1:9" x14ac:dyDescent="0.25">
      <c r="A26" s="2" t="s">
        <v>71</v>
      </c>
      <c r="B26" s="2" t="s">
        <v>72</v>
      </c>
      <c r="C26" s="2" t="s">
        <v>73</v>
      </c>
      <c r="D26" s="1">
        <v>1</v>
      </c>
      <c r="E26" s="5" t="s">
        <v>231</v>
      </c>
      <c r="F26" s="6">
        <f>D26*5</f>
        <v>5</v>
      </c>
      <c r="G26" s="15" t="s">
        <v>266</v>
      </c>
      <c r="H26" s="13" t="s">
        <v>255</v>
      </c>
      <c r="I26">
        <f>IF(E26&lt;&gt;"", 1, 0)</f>
        <v>1</v>
      </c>
    </row>
    <row r="27" spans="1:9" x14ac:dyDescent="0.25">
      <c r="A27" s="2" t="s">
        <v>74</v>
      </c>
      <c r="B27" s="2" t="s">
        <v>1</v>
      </c>
      <c r="C27" s="2" t="s">
        <v>75</v>
      </c>
      <c r="D27" s="1">
        <v>1</v>
      </c>
      <c r="E27" s="5" t="s">
        <v>230</v>
      </c>
      <c r="F27" s="6">
        <f>D27*5</f>
        <v>5</v>
      </c>
      <c r="G27" s="15" t="s">
        <v>264</v>
      </c>
      <c r="H27" s="13" t="s">
        <v>255</v>
      </c>
      <c r="I27">
        <f>IF(E27&lt;&gt;"", 1, 0)</f>
        <v>1</v>
      </c>
    </row>
    <row r="28" spans="1:9" x14ac:dyDescent="0.25">
      <c r="A28" s="2" t="s">
        <v>76</v>
      </c>
      <c r="B28" s="2" t="s">
        <v>77</v>
      </c>
      <c r="C28" s="2" t="s">
        <v>78</v>
      </c>
      <c r="D28" s="1">
        <v>1</v>
      </c>
      <c r="F28" s="8">
        <f>D28*5</f>
        <v>5</v>
      </c>
      <c r="I28">
        <f>IF(E28&lt;&gt;"", 1, 0)</f>
        <v>0</v>
      </c>
    </row>
    <row r="29" spans="1:9" x14ac:dyDescent="0.25">
      <c r="A29" s="2" t="s">
        <v>79</v>
      </c>
      <c r="B29" s="2" t="s">
        <v>80</v>
      </c>
      <c r="C29" s="2" t="s">
        <v>81</v>
      </c>
      <c r="D29" s="1">
        <v>1</v>
      </c>
      <c r="F29" s="8">
        <f>D29*5</f>
        <v>5</v>
      </c>
      <c r="I29">
        <f>IF(E29&lt;&gt;"", 1, 0)</f>
        <v>0</v>
      </c>
    </row>
    <row r="30" spans="1:9" x14ac:dyDescent="0.25">
      <c r="A30" s="2" t="s">
        <v>280</v>
      </c>
      <c r="B30" s="2" t="s">
        <v>281</v>
      </c>
      <c r="C30" s="2" t="s">
        <v>283</v>
      </c>
      <c r="D30" s="1">
        <v>1</v>
      </c>
      <c r="E30" t="s">
        <v>229</v>
      </c>
      <c r="F30" s="8">
        <f>D30*5</f>
        <v>5</v>
      </c>
      <c r="G30" s="15">
        <v>4736281</v>
      </c>
      <c r="H30" s="13" t="s">
        <v>256</v>
      </c>
      <c r="I30">
        <f>IF(E30&lt;&gt;"", 1, 0)</f>
        <v>1</v>
      </c>
    </row>
    <row r="31" spans="1:9" x14ac:dyDescent="0.25">
      <c r="A31" s="2" t="s">
        <v>278</v>
      </c>
      <c r="B31" s="2" t="s">
        <v>282</v>
      </c>
      <c r="C31" s="2" t="s">
        <v>279</v>
      </c>
      <c r="D31" s="1">
        <v>1</v>
      </c>
      <c r="E31" t="s">
        <v>229</v>
      </c>
      <c r="F31" s="8">
        <f>D31*5</f>
        <v>5</v>
      </c>
      <c r="G31" s="15">
        <v>1854511</v>
      </c>
      <c r="H31" s="13" t="s">
        <v>256</v>
      </c>
      <c r="I31">
        <f>IF(E31&lt;&gt;"", 1, 0)</f>
        <v>1</v>
      </c>
    </row>
    <row r="32" spans="1:9" x14ac:dyDescent="0.25">
      <c r="A32" s="2" t="s">
        <v>82</v>
      </c>
      <c r="B32" s="2" t="s">
        <v>277</v>
      </c>
      <c r="C32" s="2" t="s">
        <v>284</v>
      </c>
      <c r="D32" s="1">
        <v>6</v>
      </c>
      <c r="E32" t="s">
        <v>229</v>
      </c>
      <c r="F32" s="6">
        <f>D32*5</f>
        <v>30</v>
      </c>
      <c r="G32" s="15">
        <v>1854510</v>
      </c>
      <c r="H32" s="13" t="s">
        <v>256</v>
      </c>
      <c r="I32">
        <f>IF(E32&lt;&gt;"", 1, 0)</f>
        <v>1</v>
      </c>
    </row>
    <row r="33" spans="1:9" x14ac:dyDescent="0.25">
      <c r="A33" s="2" t="s">
        <v>83</v>
      </c>
      <c r="B33" s="2" t="s">
        <v>84</v>
      </c>
      <c r="C33" s="2" t="s">
        <v>276</v>
      </c>
      <c r="D33" s="1">
        <v>18</v>
      </c>
      <c r="E33" s="5" t="s">
        <v>217</v>
      </c>
      <c r="F33" s="6">
        <v>100</v>
      </c>
      <c r="G33" s="15">
        <v>1652903</v>
      </c>
      <c r="H33" s="13" t="s">
        <v>256</v>
      </c>
      <c r="I33">
        <f>IF(E33&lt;&gt;"", 1, 0)</f>
        <v>1</v>
      </c>
    </row>
    <row r="34" spans="1:9" x14ac:dyDescent="0.25">
      <c r="A34" s="2" t="s">
        <v>85</v>
      </c>
      <c r="B34" s="2" t="s">
        <v>86</v>
      </c>
      <c r="C34" s="2" t="s">
        <v>87</v>
      </c>
      <c r="D34" s="1">
        <v>2</v>
      </c>
      <c r="E34" s="5" t="s">
        <v>197</v>
      </c>
      <c r="F34" s="6">
        <f>D34*5</f>
        <v>10</v>
      </c>
      <c r="G34" s="15">
        <v>2112878</v>
      </c>
      <c r="H34" s="13" t="s">
        <v>256</v>
      </c>
      <c r="I34">
        <f>IF(E34&lt;&gt;"", 1, 0)</f>
        <v>1</v>
      </c>
    </row>
    <row r="35" spans="1:9" x14ac:dyDescent="0.25">
      <c r="A35" s="2" t="s">
        <v>88</v>
      </c>
      <c r="B35" s="2" t="s">
        <v>89</v>
      </c>
      <c r="C35" s="2" t="s">
        <v>90</v>
      </c>
      <c r="D35" s="1">
        <v>8</v>
      </c>
      <c r="E35" s="5" t="s">
        <v>228</v>
      </c>
      <c r="F35" s="8">
        <f>D35*5</f>
        <v>40</v>
      </c>
      <c r="G35" s="15">
        <v>2447596</v>
      </c>
      <c r="H35" s="13" t="s">
        <v>256</v>
      </c>
      <c r="I35">
        <f>IF(E35&lt;&gt;"", 1, 0)</f>
        <v>1</v>
      </c>
    </row>
    <row r="36" spans="1:9" x14ac:dyDescent="0.25">
      <c r="A36" s="2" t="s">
        <v>91</v>
      </c>
      <c r="B36" s="2" t="s">
        <v>92</v>
      </c>
      <c r="C36" s="2" t="s">
        <v>93</v>
      </c>
      <c r="D36" s="1">
        <v>11</v>
      </c>
      <c r="E36" s="5" t="s">
        <v>227</v>
      </c>
      <c r="F36" s="8">
        <v>60</v>
      </c>
      <c r="G36" s="15">
        <v>1469860</v>
      </c>
      <c r="H36" s="13" t="s">
        <v>256</v>
      </c>
      <c r="I36">
        <f>IF(E36&lt;&gt;"", 1, 0)</f>
        <v>1</v>
      </c>
    </row>
    <row r="37" spans="1:9" x14ac:dyDescent="0.25">
      <c r="A37" s="2" t="s">
        <v>94</v>
      </c>
      <c r="B37" s="2" t="s">
        <v>95</v>
      </c>
      <c r="C37" s="2" t="s">
        <v>96</v>
      </c>
      <c r="D37" s="1">
        <v>30</v>
      </c>
      <c r="E37" s="5" t="s">
        <v>226</v>
      </c>
      <c r="F37" s="8">
        <f>D37*5</f>
        <v>150</v>
      </c>
      <c r="G37" s="15">
        <v>2073612</v>
      </c>
      <c r="H37" s="13" t="s">
        <v>256</v>
      </c>
      <c r="I37">
        <f>IF(E37&lt;&gt;"", 1, 0)</f>
        <v>1</v>
      </c>
    </row>
    <row r="38" spans="1:9" x14ac:dyDescent="0.25">
      <c r="A38" s="2" t="s">
        <v>97</v>
      </c>
      <c r="B38" s="2" t="s">
        <v>98</v>
      </c>
      <c r="C38" s="2" t="s">
        <v>99</v>
      </c>
      <c r="D38" s="1">
        <v>9</v>
      </c>
      <c r="E38" s="5" t="s">
        <v>225</v>
      </c>
      <c r="F38" s="8">
        <v>50</v>
      </c>
      <c r="G38" s="15">
        <v>1469847</v>
      </c>
      <c r="H38" s="13" t="s">
        <v>256</v>
      </c>
      <c r="I38">
        <f>IF(E38&lt;&gt;"", 1, 0)</f>
        <v>1</v>
      </c>
    </row>
    <row r="39" spans="1:9" x14ac:dyDescent="0.25">
      <c r="A39" s="2" t="s">
        <v>100</v>
      </c>
      <c r="B39" s="2" t="s">
        <v>101</v>
      </c>
      <c r="C39" s="2" t="s">
        <v>102</v>
      </c>
      <c r="D39" s="1">
        <v>27</v>
      </c>
      <c r="E39" s="5" t="s">
        <v>224</v>
      </c>
      <c r="F39" s="8">
        <v>140</v>
      </c>
      <c r="G39" s="15">
        <v>9332375</v>
      </c>
      <c r="H39" s="13" t="s">
        <v>256</v>
      </c>
      <c r="I39">
        <f>IF(E39&lt;&gt;"", 1, 0)</f>
        <v>1</v>
      </c>
    </row>
    <row r="40" spans="1:9" x14ac:dyDescent="0.25">
      <c r="A40" s="2" t="s">
        <v>103</v>
      </c>
      <c r="B40" s="2" t="s">
        <v>104</v>
      </c>
      <c r="C40" s="2" t="s">
        <v>105</v>
      </c>
      <c r="D40" s="1">
        <v>9</v>
      </c>
      <c r="E40" s="5" t="s">
        <v>223</v>
      </c>
      <c r="F40" s="6">
        <v>50</v>
      </c>
      <c r="G40" s="15">
        <v>4352078</v>
      </c>
      <c r="H40" s="13" t="s">
        <v>256</v>
      </c>
      <c r="I40">
        <f>IF(E40&lt;&gt;"", 1, 0)</f>
        <v>1</v>
      </c>
    </row>
    <row r="41" spans="1:9" x14ac:dyDescent="0.25">
      <c r="A41" s="2" t="s">
        <v>106</v>
      </c>
      <c r="B41" s="2" t="s">
        <v>107</v>
      </c>
      <c r="C41" s="2" t="s">
        <v>108</v>
      </c>
      <c r="D41" s="1">
        <v>4</v>
      </c>
      <c r="F41" s="8">
        <f>D41*5</f>
        <v>20</v>
      </c>
      <c r="I41">
        <f>IF(E41&lt;&gt;"", 1, 0)</f>
        <v>0</v>
      </c>
    </row>
    <row r="42" spans="1:9" x14ac:dyDescent="0.25">
      <c r="A42" s="2" t="s">
        <v>109</v>
      </c>
      <c r="B42" s="2" t="s">
        <v>110</v>
      </c>
      <c r="C42" s="2" t="s">
        <v>111</v>
      </c>
      <c r="D42" s="1">
        <v>2</v>
      </c>
      <c r="F42" s="8">
        <f>D42*5</f>
        <v>10</v>
      </c>
      <c r="I42">
        <f>IF(E42&lt;&gt;"", 1, 0)</f>
        <v>0</v>
      </c>
    </row>
    <row r="43" spans="1:9" x14ac:dyDescent="0.25">
      <c r="A43" s="2" t="s">
        <v>112</v>
      </c>
      <c r="B43" s="2" t="s">
        <v>113</v>
      </c>
      <c r="C43" s="2" t="s">
        <v>114</v>
      </c>
      <c r="D43" s="1">
        <v>4</v>
      </c>
      <c r="F43" s="8">
        <f>D43*5</f>
        <v>20</v>
      </c>
      <c r="I43">
        <f>IF(E43&lt;&gt;"", 1, 0)</f>
        <v>0</v>
      </c>
    </row>
    <row r="44" spans="1:9" x14ac:dyDescent="0.25">
      <c r="A44" s="2" t="s">
        <v>115</v>
      </c>
      <c r="B44" s="2" t="s">
        <v>116</v>
      </c>
      <c r="C44" s="2" t="s">
        <v>117</v>
      </c>
      <c r="D44" s="1">
        <v>1</v>
      </c>
      <c r="F44" s="8">
        <f>D44*5</f>
        <v>5</v>
      </c>
      <c r="I44">
        <f>IF(E44&lt;&gt;"", 1, 0)</f>
        <v>0</v>
      </c>
    </row>
    <row r="45" spans="1:9" x14ac:dyDescent="0.25">
      <c r="A45" s="2" t="s">
        <v>118</v>
      </c>
      <c r="B45" s="2" t="s">
        <v>119</v>
      </c>
      <c r="C45" s="2" t="s">
        <v>120</v>
      </c>
      <c r="D45" s="1">
        <v>2</v>
      </c>
      <c r="F45" s="8">
        <f>D45*5</f>
        <v>10</v>
      </c>
      <c r="I45">
        <f>IF(E45&lt;&gt;"", 1, 0)</f>
        <v>0</v>
      </c>
    </row>
    <row r="46" spans="1:9" x14ac:dyDescent="0.25">
      <c r="A46" s="2" t="s">
        <v>121</v>
      </c>
      <c r="B46" s="2" t="s">
        <v>122</v>
      </c>
      <c r="C46" s="2" t="s">
        <v>123</v>
      </c>
      <c r="D46" s="1">
        <v>2</v>
      </c>
      <c r="F46" s="8">
        <f>D46*5</f>
        <v>10</v>
      </c>
      <c r="I46">
        <f>IF(E46&lt;&gt;"", 1, 0)</f>
        <v>0</v>
      </c>
    </row>
    <row r="47" spans="1:9" x14ac:dyDescent="0.25">
      <c r="A47" s="2" t="s">
        <v>124</v>
      </c>
      <c r="B47" s="2" t="s">
        <v>125</v>
      </c>
      <c r="C47" s="2" t="s">
        <v>126</v>
      </c>
      <c r="D47" s="1">
        <v>1</v>
      </c>
      <c r="E47" s="5" t="s">
        <v>220</v>
      </c>
      <c r="F47" s="8">
        <f>D47*5</f>
        <v>5</v>
      </c>
      <c r="G47" s="15">
        <v>2117318</v>
      </c>
      <c r="H47" s="13" t="s">
        <v>256</v>
      </c>
      <c r="I47">
        <f>IF(E47&lt;&gt;"", 1, 0)</f>
        <v>1</v>
      </c>
    </row>
    <row r="48" spans="1:9" x14ac:dyDescent="0.25">
      <c r="A48" s="2" t="s">
        <v>127</v>
      </c>
      <c r="B48" s="2" t="s">
        <v>128</v>
      </c>
      <c r="C48" s="2" t="s">
        <v>129</v>
      </c>
      <c r="D48" s="1">
        <v>1</v>
      </c>
      <c r="E48" s="5" t="s">
        <v>218</v>
      </c>
      <c r="F48" s="6">
        <v>10</v>
      </c>
      <c r="G48" s="15">
        <v>4004387</v>
      </c>
      <c r="H48" s="13" t="s">
        <v>256</v>
      </c>
      <c r="I48">
        <f>IF(E48&lt;&gt;"", 1, 0)</f>
        <v>1</v>
      </c>
    </row>
    <row r="49" spans="1:9" x14ac:dyDescent="0.25">
      <c r="A49" s="2" t="s">
        <v>130</v>
      </c>
      <c r="B49" s="2" t="s">
        <v>131</v>
      </c>
      <c r="C49" s="2" t="s">
        <v>132</v>
      </c>
      <c r="D49" s="1">
        <v>1</v>
      </c>
      <c r="E49" s="5" t="s">
        <v>219</v>
      </c>
      <c r="F49" s="6">
        <v>10</v>
      </c>
      <c r="G49" s="15" t="s">
        <v>271</v>
      </c>
      <c r="H49" s="13" t="s">
        <v>255</v>
      </c>
      <c r="I49">
        <f>IF(E49&lt;&gt;"", 1, 0)</f>
        <v>1</v>
      </c>
    </row>
    <row r="50" spans="1:9" x14ac:dyDescent="0.25">
      <c r="A50" s="2" t="s">
        <v>133</v>
      </c>
      <c r="B50" s="2" t="s">
        <v>134</v>
      </c>
      <c r="C50" s="2" t="s">
        <v>135</v>
      </c>
      <c r="D50" s="1">
        <v>1</v>
      </c>
      <c r="E50" s="5"/>
      <c r="F50" s="8">
        <f>D50*5</f>
        <v>5</v>
      </c>
      <c r="I50">
        <f>IF(E50&lt;&gt;"", 1, 0)</f>
        <v>0</v>
      </c>
    </row>
    <row r="51" spans="1:9" x14ac:dyDescent="0.25">
      <c r="A51" s="2" t="s">
        <v>136</v>
      </c>
      <c r="B51" s="2" t="s">
        <v>137</v>
      </c>
      <c r="C51" s="2" t="s">
        <v>138</v>
      </c>
      <c r="D51" s="1">
        <v>1</v>
      </c>
      <c r="E51" s="5" t="s">
        <v>216</v>
      </c>
      <c r="F51" s="8">
        <f>D51*5</f>
        <v>5</v>
      </c>
      <c r="G51" s="15" t="s">
        <v>267</v>
      </c>
      <c r="H51" s="13" t="s">
        <v>255</v>
      </c>
      <c r="I51">
        <f>IF(E51&lt;&gt;"", 1, 0)</f>
        <v>1</v>
      </c>
    </row>
    <row r="52" spans="1:9" x14ac:dyDescent="0.25">
      <c r="A52" s="2" t="s">
        <v>139</v>
      </c>
      <c r="B52" s="2" t="s">
        <v>140</v>
      </c>
      <c r="C52" s="2" t="s">
        <v>141</v>
      </c>
      <c r="D52" s="1">
        <v>1</v>
      </c>
      <c r="E52" s="5" t="s">
        <v>213</v>
      </c>
      <c r="F52" s="8">
        <f>D52*5</f>
        <v>5</v>
      </c>
      <c r="G52" s="15" t="s">
        <v>260</v>
      </c>
      <c r="H52" s="13" t="s">
        <v>255</v>
      </c>
      <c r="I52">
        <f>IF(E52&lt;&gt;"", 1, 0)</f>
        <v>1</v>
      </c>
    </row>
    <row r="53" spans="1:9" x14ac:dyDescent="0.25">
      <c r="A53" s="2" t="s">
        <v>142</v>
      </c>
      <c r="B53" s="2" t="s">
        <v>1</v>
      </c>
      <c r="C53" s="2" t="s">
        <v>143</v>
      </c>
      <c r="D53" s="1">
        <v>9</v>
      </c>
      <c r="E53" s="5" t="s">
        <v>214</v>
      </c>
      <c r="F53" s="6">
        <v>50</v>
      </c>
      <c r="G53" s="15">
        <v>1437697</v>
      </c>
      <c r="H53" s="13" t="s">
        <v>256</v>
      </c>
      <c r="I53">
        <f>IF(E53&lt;&gt;"", 1, 0)</f>
        <v>1</v>
      </c>
    </row>
    <row r="54" spans="1:9" x14ac:dyDescent="0.25">
      <c r="A54" s="10" t="s">
        <v>144</v>
      </c>
      <c r="B54" s="2" t="s">
        <v>145</v>
      </c>
      <c r="C54" s="2" t="s">
        <v>146</v>
      </c>
      <c r="D54" s="1">
        <v>5</v>
      </c>
      <c r="E54" s="5"/>
      <c r="F54" s="8">
        <f>D54*5</f>
        <v>25</v>
      </c>
      <c r="I54">
        <f>IF(E54&lt;&gt;"", 1, 0)</f>
        <v>0</v>
      </c>
    </row>
    <row r="55" spans="1:9" x14ac:dyDescent="0.25">
      <c r="A55" s="2" t="s">
        <v>147</v>
      </c>
      <c r="B55" s="2" t="s">
        <v>148</v>
      </c>
      <c r="C55" s="2" t="s">
        <v>149</v>
      </c>
      <c r="D55" s="1">
        <v>1</v>
      </c>
      <c r="E55" s="5" t="s">
        <v>215</v>
      </c>
      <c r="F55" s="6">
        <f>D55*5</f>
        <v>5</v>
      </c>
      <c r="G55" s="15" t="s">
        <v>270</v>
      </c>
      <c r="H55" s="13" t="s">
        <v>255</v>
      </c>
      <c r="I55">
        <f>IF(E55&lt;&gt;"", 1, 0)</f>
        <v>1</v>
      </c>
    </row>
    <row r="56" spans="1:9" x14ac:dyDescent="0.25">
      <c r="A56" s="2" t="s">
        <v>150</v>
      </c>
      <c r="B56" s="2" t="s">
        <v>145</v>
      </c>
      <c r="C56" s="2" t="s">
        <v>151</v>
      </c>
      <c r="D56" s="1">
        <v>2</v>
      </c>
      <c r="E56" s="5"/>
      <c r="F56" s="8">
        <f>D56*5</f>
        <v>10</v>
      </c>
      <c r="I56">
        <f>IF(E56&lt;&gt;"", 1, 0)</f>
        <v>0</v>
      </c>
    </row>
    <row r="57" spans="1:9" x14ac:dyDescent="0.25">
      <c r="A57" s="2" t="s">
        <v>152</v>
      </c>
      <c r="B57" s="2" t="s">
        <v>153</v>
      </c>
      <c r="C57" s="2" t="s">
        <v>154</v>
      </c>
      <c r="D57" s="1">
        <v>8</v>
      </c>
      <c r="E57" s="5" t="s">
        <v>212</v>
      </c>
      <c r="F57" s="8">
        <f>D57*5</f>
        <v>40</v>
      </c>
      <c r="G57" s="15" t="s">
        <v>269</v>
      </c>
      <c r="H57" s="13" t="s">
        <v>255</v>
      </c>
      <c r="I57">
        <f>IF(E57&lt;&gt;"", 1, 0)</f>
        <v>1</v>
      </c>
    </row>
    <row r="58" spans="1:9" x14ac:dyDescent="0.25">
      <c r="A58" s="2" t="s">
        <v>155</v>
      </c>
      <c r="B58" s="2" t="s">
        <v>145</v>
      </c>
      <c r="C58" s="2" t="s">
        <v>156</v>
      </c>
      <c r="D58" s="1">
        <v>5</v>
      </c>
      <c r="E58" s="5" t="s">
        <v>211</v>
      </c>
      <c r="F58" s="8">
        <f>D58*5</f>
        <v>25</v>
      </c>
      <c r="G58" s="15" t="s">
        <v>261</v>
      </c>
      <c r="H58" s="13" t="s">
        <v>255</v>
      </c>
      <c r="I58">
        <f>IF(E58&lt;&gt;"", 1, 0)</f>
        <v>1</v>
      </c>
    </row>
    <row r="59" spans="1:9" x14ac:dyDescent="0.25">
      <c r="A59" s="2" t="s">
        <v>157</v>
      </c>
      <c r="B59" s="2" t="s">
        <v>158</v>
      </c>
      <c r="C59" s="2" t="s">
        <v>159</v>
      </c>
      <c r="D59" s="1">
        <v>9</v>
      </c>
      <c r="E59" s="5"/>
      <c r="F59" s="8">
        <f>D59*5</f>
        <v>45</v>
      </c>
      <c r="I59">
        <f>IF(E59&lt;&gt;"", 1, 0)</f>
        <v>0</v>
      </c>
    </row>
    <row r="60" spans="1:9" x14ac:dyDescent="0.25">
      <c r="A60" s="2" t="s">
        <v>160</v>
      </c>
      <c r="B60" s="2" t="s">
        <v>1</v>
      </c>
      <c r="C60" s="2" t="s">
        <v>161</v>
      </c>
      <c r="D60" s="1">
        <v>9</v>
      </c>
      <c r="E60" s="5" t="s">
        <v>210</v>
      </c>
      <c r="F60" s="8">
        <f>D60*5</f>
        <v>45</v>
      </c>
      <c r="G60" s="15">
        <v>9845330</v>
      </c>
      <c r="H60" s="13" t="s">
        <v>256</v>
      </c>
      <c r="I60">
        <f>IF(E60&lt;&gt;"", 1, 0)</f>
        <v>1</v>
      </c>
    </row>
    <row r="61" spans="1:9" x14ac:dyDescent="0.25">
      <c r="A61" s="2" t="s">
        <v>162</v>
      </c>
      <c r="B61" s="2" t="s">
        <v>5</v>
      </c>
      <c r="C61" s="2" t="s">
        <v>163</v>
      </c>
      <c r="D61" s="1">
        <v>8</v>
      </c>
      <c r="E61" s="5" t="s">
        <v>209</v>
      </c>
      <c r="F61" s="6">
        <f>D61*5</f>
        <v>40</v>
      </c>
      <c r="G61" s="15" t="s">
        <v>259</v>
      </c>
      <c r="H61" s="13" t="s">
        <v>255</v>
      </c>
      <c r="I61">
        <f>IF(E61&lt;&gt;"", 1, 0)</f>
        <v>1</v>
      </c>
    </row>
    <row r="62" spans="1:9" x14ac:dyDescent="0.25">
      <c r="A62" s="2" t="s">
        <v>164</v>
      </c>
      <c r="B62" s="2" t="s">
        <v>165</v>
      </c>
      <c r="C62" s="2" t="s">
        <v>166</v>
      </c>
      <c r="D62" s="1">
        <v>1</v>
      </c>
      <c r="E62" t="s">
        <v>250</v>
      </c>
      <c r="F62" s="6">
        <v>2</v>
      </c>
      <c r="I62">
        <f>IF(E62&lt;&gt;"", 1, 0)</f>
        <v>1</v>
      </c>
    </row>
    <row r="63" spans="1:9" x14ac:dyDescent="0.25">
      <c r="A63" s="2" t="s">
        <v>167</v>
      </c>
      <c r="B63" s="2" t="s">
        <v>1</v>
      </c>
      <c r="C63" s="2" t="s">
        <v>168</v>
      </c>
      <c r="D63" s="1">
        <v>1</v>
      </c>
      <c r="E63" s="5" t="s">
        <v>208</v>
      </c>
      <c r="F63" s="6">
        <f>D63*5</f>
        <v>5</v>
      </c>
      <c r="G63" s="15">
        <v>2851647</v>
      </c>
      <c r="H63" s="13" t="s">
        <v>256</v>
      </c>
      <c r="I63">
        <f>IF(E63&lt;&gt;"", 1, 0)</f>
        <v>1</v>
      </c>
    </row>
    <row r="64" spans="1:9" x14ac:dyDescent="0.25">
      <c r="A64" s="2" t="s">
        <v>169</v>
      </c>
      <c r="B64" s="2" t="s">
        <v>145</v>
      </c>
      <c r="C64" s="2" t="s">
        <v>170</v>
      </c>
      <c r="D64" s="1">
        <v>1</v>
      </c>
      <c r="E64" s="5" t="s">
        <v>207</v>
      </c>
      <c r="F64" s="6">
        <v>10</v>
      </c>
      <c r="G64" s="15">
        <v>3262835</v>
      </c>
      <c r="H64" s="13" t="s">
        <v>256</v>
      </c>
      <c r="I64">
        <f>IF(E64&lt;&gt;"", 1, 0)</f>
        <v>1</v>
      </c>
    </row>
    <row r="65" spans="1:9" x14ac:dyDescent="0.25">
      <c r="A65" s="2" t="s">
        <v>171</v>
      </c>
      <c r="B65" s="2" t="s">
        <v>1</v>
      </c>
      <c r="C65" s="2" t="s">
        <v>172</v>
      </c>
      <c r="D65" s="1">
        <v>1</v>
      </c>
      <c r="E65" s="5" t="s">
        <v>206</v>
      </c>
      <c r="F65" s="6">
        <f>D65*5</f>
        <v>5</v>
      </c>
      <c r="G65" s="15">
        <v>2983598</v>
      </c>
      <c r="H65" s="13" t="s">
        <v>256</v>
      </c>
      <c r="I65">
        <f>IF(E65&lt;&gt;"", 1, 0)</f>
        <v>1</v>
      </c>
    </row>
    <row r="66" spans="1:9" x14ac:dyDescent="0.25">
      <c r="A66" s="2" t="s">
        <v>173</v>
      </c>
      <c r="B66" s="2" t="s">
        <v>145</v>
      </c>
      <c r="C66" s="2" t="s">
        <v>174</v>
      </c>
      <c r="D66" s="1">
        <v>9</v>
      </c>
      <c r="E66" s="5" t="s">
        <v>204</v>
      </c>
      <c r="F66" s="8">
        <f>D66*5</f>
        <v>45</v>
      </c>
      <c r="G66" s="15" t="s">
        <v>258</v>
      </c>
      <c r="H66" s="13" t="s">
        <v>255</v>
      </c>
      <c r="I66">
        <f>IF(E66&lt;&gt;"", 1, 0)</f>
        <v>1</v>
      </c>
    </row>
    <row r="67" spans="1:9" x14ac:dyDescent="0.25">
      <c r="A67" s="2" t="s">
        <v>175</v>
      </c>
      <c r="B67" s="2" t="s">
        <v>176</v>
      </c>
      <c r="C67" s="2" t="s">
        <v>177</v>
      </c>
      <c r="D67" s="1">
        <v>4</v>
      </c>
      <c r="E67" s="5" t="s">
        <v>203</v>
      </c>
      <c r="F67" s="6">
        <v>25</v>
      </c>
      <c r="G67" s="15" t="s">
        <v>272</v>
      </c>
      <c r="H67" s="13" t="s">
        <v>255</v>
      </c>
      <c r="I67">
        <f>IF(E67&lt;&gt;"", 1, 0)</f>
        <v>1</v>
      </c>
    </row>
    <row r="68" spans="1:9" x14ac:dyDescent="0.25">
      <c r="A68" s="2" t="s">
        <v>178</v>
      </c>
      <c r="B68" s="2" t="s">
        <v>1</v>
      </c>
      <c r="C68" s="2" t="s">
        <v>179</v>
      </c>
      <c r="D68" s="1">
        <v>18</v>
      </c>
      <c r="E68" s="5"/>
      <c r="F68" s="8">
        <f>D68*5</f>
        <v>90</v>
      </c>
      <c r="I68">
        <f>IF(E68&lt;&gt;"", 1, 0)</f>
        <v>0</v>
      </c>
    </row>
    <row r="69" spans="1:9" x14ac:dyDescent="0.25">
      <c r="A69" s="2" t="s">
        <v>180</v>
      </c>
      <c r="B69" s="2" t="s">
        <v>145</v>
      </c>
      <c r="C69" s="2" t="s">
        <v>181</v>
      </c>
      <c r="D69" s="1">
        <v>1</v>
      </c>
      <c r="E69" s="7"/>
      <c r="F69" s="8">
        <f>D69*5</f>
        <v>5</v>
      </c>
      <c r="I69">
        <f t="shared" ref="I69:I75" si="0">IF(E69&lt;&gt;"", 1, 0)</f>
        <v>0</v>
      </c>
    </row>
    <row r="70" spans="1:9" x14ac:dyDescent="0.25">
      <c r="A70" s="2" t="s">
        <v>182</v>
      </c>
      <c r="B70" s="2" t="s">
        <v>183</v>
      </c>
      <c r="C70" s="2" t="s">
        <v>184</v>
      </c>
      <c r="D70" s="1">
        <v>1</v>
      </c>
      <c r="F70" s="8">
        <f>D70*5</f>
        <v>5</v>
      </c>
      <c r="I70">
        <f t="shared" si="0"/>
        <v>0</v>
      </c>
    </row>
    <row r="71" spans="1:9" x14ac:dyDescent="0.25">
      <c r="A71" s="2" t="s">
        <v>62</v>
      </c>
      <c r="B71" s="2" t="s">
        <v>185</v>
      </c>
      <c r="C71" s="2" t="s">
        <v>186</v>
      </c>
      <c r="D71" s="1">
        <v>1</v>
      </c>
      <c r="F71" s="8">
        <f>D71*5</f>
        <v>5</v>
      </c>
      <c r="I71">
        <f t="shared" si="0"/>
        <v>0</v>
      </c>
    </row>
    <row r="72" spans="1:9" x14ac:dyDescent="0.25">
      <c r="A72" s="2" t="s">
        <v>187</v>
      </c>
      <c r="B72" s="2" t="s">
        <v>1</v>
      </c>
      <c r="C72" s="2" t="s">
        <v>188</v>
      </c>
      <c r="D72" s="1">
        <v>1</v>
      </c>
      <c r="E72" s="5" t="s">
        <v>248</v>
      </c>
      <c r="F72" s="6">
        <v>10</v>
      </c>
      <c r="G72" s="15">
        <v>2533281</v>
      </c>
      <c r="H72" s="13" t="s">
        <v>256</v>
      </c>
      <c r="I72">
        <f t="shared" si="0"/>
        <v>1</v>
      </c>
    </row>
    <row r="73" spans="1:9" x14ac:dyDescent="0.25">
      <c r="A73" s="2" t="s">
        <v>189</v>
      </c>
      <c r="B73" s="2" t="s">
        <v>1</v>
      </c>
      <c r="C73" s="2" t="s">
        <v>190</v>
      </c>
      <c r="D73" s="1">
        <v>1</v>
      </c>
      <c r="E73" s="5" t="s">
        <v>247</v>
      </c>
      <c r="F73" s="6">
        <v>10</v>
      </c>
      <c r="G73" s="15" t="s">
        <v>262</v>
      </c>
      <c r="H73" s="13" t="s">
        <v>255</v>
      </c>
      <c r="I73">
        <f t="shared" si="0"/>
        <v>1</v>
      </c>
    </row>
    <row r="74" spans="1:9" x14ac:dyDescent="0.25">
      <c r="A74" s="2" t="s">
        <v>191</v>
      </c>
      <c r="B74" s="2" t="s">
        <v>192</v>
      </c>
      <c r="C74" s="2" t="s">
        <v>193</v>
      </c>
      <c r="D74" s="1">
        <v>1</v>
      </c>
      <c r="E74" s="5" t="s">
        <v>202</v>
      </c>
      <c r="F74" s="9">
        <f>D74*5</f>
        <v>5</v>
      </c>
      <c r="G74" s="15">
        <v>2467716</v>
      </c>
      <c r="H74" s="13" t="s">
        <v>256</v>
      </c>
      <c r="I74">
        <f t="shared" si="0"/>
        <v>1</v>
      </c>
    </row>
    <row r="75" spans="1:9" x14ac:dyDescent="0.25">
      <c r="A75" s="2" t="s">
        <v>194</v>
      </c>
      <c r="B75" s="2" t="s">
        <v>195</v>
      </c>
      <c r="C75" s="2" t="s">
        <v>196</v>
      </c>
      <c r="D75" s="1">
        <v>1</v>
      </c>
      <c r="E75" s="5" t="s">
        <v>201</v>
      </c>
      <c r="F75" s="9">
        <f>D75*5</f>
        <v>5</v>
      </c>
      <c r="G75" s="15">
        <v>4200063</v>
      </c>
      <c r="H75" s="13" t="s">
        <v>256</v>
      </c>
      <c r="I75">
        <f t="shared" si="0"/>
        <v>1</v>
      </c>
    </row>
  </sheetData>
  <mergeCells count="1">
    <mergeCell ref="G2:J2"/>
  </mergeCells>
  <conditionalFormatting sqref="I3:I75">
    <cfRule type="cellIs" dxfId="1" priority="1" operator="equal">
      <formula>0</formula>
    </cfRule>
    <cfRule type="cellIs" dxfId="0" priority="2" operator="greaterThan">
      <formula>0</formula>
    </cfRule>
  </conditionalFormatting>
  <hyperlinks>
    <hyperlink ref="E34" r:id="rId1" display="https://be.farnell.com/en-BE/vishay/crcw060350r0fkea/res-50r-1-0-1w-0603-thick-film/dp/2112878" xr:uid="{BF9C3511-0B57-45E7-BB10-94149D592ED2}"/>
    <hyperlink ref="E20" r:id="rId2" display="https://be.farnell.com/en-BE/amp-te-connectivity/1-1478979-0/rf-coaxial-sma-straight-jack-50ohm/dp/1056377?MER=sy-me-pd-mi-alte" xr:uid="{65DFF0C3-2A34-4FE9-A0C4-E677FCEB6CB8}"/>
    <hyperlink ref="E3" r:id="rId3" xr:uid="{F3C5A762-C790-4DC2-9494-872423A51E1C}"/>
    <hyperlink ref="E75" r:id="rId4" display="https://be.farnell.com/en-BE/txc/qt49s-16-000meej-t/xtal-16mhz-18pf-smd-12-7mm-x-4/dp/4200063" xr:uid="{82C61F8A-B0B1-4F80-BEE9-D81C80236111}"/>
    <hyperlink ref="E74" r:id="rId5" display="https://be.farnell.com/en-BE/abracon/abls-12-000mhz-b4-t/crystal-12mhz-18pf-hc-49us/dp/2467716" xr:uid="{D4F283DA-C4A3-48B5-A033-05A4AD80D3B1}"/>
    <hyperlink ref="E67" r:id="rId6" display="https://www.digikey.be/en/products/detail/texas-instruments/TXU0104PWR/14641439" xr:uid="{8E999CBA-5868-4ED9-9568-0488DA956E12}"/>
    <hyperlink ref="E66" r:id="rId7" display="https://www.digikey.be/en/products/detail/advanced-linear-devices-inc/ALD1117SAL/2414325?s=N4IgTCBcDaIIIBkAiBGNB2AyokBdAvkA" xr:uid="{0E914108-24F0-492B-969E-14A9E9E9B54B}"/>
    <hyperlink ref="E65" r:id="rId8" display="https://be.farnell.com/en-BE/renesas/icl7660scbaz-t/dc-dc-charge-pump-doubler-inv/dp/2983598" xr:uid="{B204B682-2423-4932-A58F-EADB2A82EDD9}"/>
    <hyperlink ref="E64" r:id="rId9" display="https://be.farnell.com/en-BE/renesas/511mlft/pll-clock-multiplier-200mhz-0to70deg/dp/3262835" xr:uid="{2ABFE7B4-A440-47D8-8150-06D2C8CF9BA1}"/>
    <hyperlink ref="E63" r:id="rId10" display="https://be.farnell.com/en-BE/microchip/93lc56bt-e-ot/eeprom-2kbit-serial-2mhz-sot-23/dp/2851647" xr:uid="{849B112A-2EBF-493F-A75D-9E59D9C1BEEB}"/>
    <hyperlink ref="E61" r:id="rId11" display="https://www.digikey.be/en/products/detail/texas-instruments/SN74LXCH1T45DCKR/16592524" xr:uid="{B868D05C-11F1-479D-AB16-DD8E7A5A71B4}"/>
    <hyperlink ref="E60" r:id="rId12" display="https://be.farnell.com/en-BE/onsemi/bss138/mosfet-n-chan-50v-220ma-sot-23/dp/9845330" xr:uid="{B38C6E8C-9BAA-4746-8781-D01477FC70B0}"/>
    <hyperlink ref="E58" r:id="rId13" display="https://www.digikey.be/en/products/detail/advanced-linear-devices-inc/ALD1101ASAL/2414277" xr:uid="{79EFB6E8-D9C1-432A-AC96-461C491E428D}"/>
    <hyperlink ref="E57" r:id="rId14" display="https://www.digikey.be/en/products/detail/texas-instruments/CD4066BM96/555773" xr:uid="{DEF45F84-A126-4690-BEDD-2EEC6E952E23}"/>
    <hyperlink ref="E52" r:id="rId15" display="https://www.digikey.be/en/products/detail/yageo/AC0805FR-7W3K3L/16982191?s=N4IgTCBcDaIOQEEDCAGAHCgrAMQEoFoB2AdQGYBpUgGRAF0BfIA" xr:uid="{D90B82E5-CE68-455F-91CC-70B8EF8241F7}"/>
    <hyperlink ref="E53" r:id="rId16" display="https://be.farnell.com/en-BE/c-k-components/1101m2s3cqe2/switch-spdt-6a-125vac/dp/1437697" xr:uid="{4EE33B18-4653-4229-8FA0-6088A723056F}"/>
    <hyperlink ref="E55" r:id="rId17" display="https://www.digikey.be/en/products/detail/texas-instruments/TL1963A-33DCYR/2118656" xr:uid="{33128327-1C4F-43BE-88CE-84D1A9273525}"/>
    <hyperlink ref="E51" r:id="rId18" display="https://www.digikey.be/en/products/detail/yageo/AC0805FR-7W4K7L/16989051?s=N4IgTCBcDaIOQEEDCAGAHCgrAMQEoFoB2AdQBYBpQgGRAF0BfIA" xr:uid="{5B33F00F-9990-4B90-AC0B-91CD4C87B3B1}"/>
    <hyperlink ref="E33" r:id="rId19" display="https://be.farnell.com/en-BE/vishay/crcw08050000zsta/res-0r-0-125w-0805-thick-film/dp/1652903" xr:uid="{4C5C86FD-2499-4E1D-AC4B-720BA84A2976}"/>
    <hyperlink ref="E48" r:id="rId20" display="https://be.farnell.com/en-BE/yageo/ac0805fr-0712kl/res-12k-1-0-125w-thick-film-0805/dp/4004387" xr:uid="{A4F89E6D-97F0-46B8-88A1-BA666EE6AE4D}"/>
    <hyperlink ref="E49" r:id="rId21" display="https://www.digikey.be/en/products/detail/yageo/AC0805FR-102KL/14008292?s=N4IgTCBcDaIOQEEDCAGAHCgrAMQEoFoBGFMAaQBkQBdAXyA" xr:uid="{7F38DC59-91A8-4CBD-BA59-3426A8D7DB96}"/>
    <hyperlink ref="E47" r:id="rId22" display="https://be.farnell.com/en-BE/holsworthy-te-connectivity/rp73pf2a30k1btdf/res-30k1-0-1-0-25w-0805-thin-film/dp/2117318" xr:uid="{AF09FD44-5C9C-4367-B90B-5A254C403ED3}"/>
    <hyperlink ref="E7" r:id="rId23" display="https://be.farnell.com/en-BE/tdk/cga4j1x5r1c106k125ac/cap-10-f-16v-10-x5r-0805/dp/2210948" xr:uid="{EA9C0790-C7A0-482C-9FD8-BC9CC41E9080}"/>
    <hyperlink ref="E5" r:id="rId24" display="https://be.farnell.com/en-BE/kemet/c0805f103m5ractu/cap-mlcc-0-01uf-50v-0805/dp/2905312" xr:uid="{F099C057-86AD-4446-AEE8-1D2BF2AE2B4E}"/>
    <hyperlink ref="E40" r:id="rId25" display="https://be.farnell.com/en-BE/wurth-elektronik/560112120019/resistor-5k1-0-25w-thick-film/dp/4352078" xr:uid="{1D0C1543-5DA0-4F83-9B5B-4D4F5B3C19F0}"/>
    <hyperlink ref="E39" r:id="rId26" display="https://be.farnell.com/en-BE/multicomp-pro/mc01w08051100r/res-100r-1-0-1w-0805-thick-film/dp/9332375" xr:uid="{16CE8CE8-AD69-4062-9554-C380E4269B50}"/>
    <hyperlink ref="E38" r:id="rId27" display="https://be.farnell.com/en-BE/vishay/crcw08051k00fkea/res-1k-1-0-125w-0805-thick-film/dp/1469847" xr:uid="{0A943408-4B3E-4FA3-8D92-108168B0B782}"/>
    <hyperlink ref="E37" r:id="rId28" display="https://be.farnell.com/en-BE/multicomp-pro/mcmr08x103-jtl/res-10k-5-0-125w-0805-ceramic/dp/2073612" xr:uid="{68C13AB1-D542-41A2-8835-F5D03DA23A3D}"/>
    <hyperlink ref="E36" r:id="rId29" display="https://be.farnell.com/en-BE/vishay/crcw0805100kfkea/res-100k-1-0-125w-0805-thick-film/dp/1469860" xr:uid="{A0900BF8-4E51-47D5-9FB8-440DCFE2D342}"/>
    <hyperlink ref="E35" r:id="rId30" display="https://be.farnell.com/en-BE/multicomp-pro/mcwr08x1004ftl/res-1m-1-0-125w-0805-thick-film/dp/2447596" xr:uid="{904551B0-08AC-4797-A6A5-780507F8FC09}"/>
    <hyperlink ref="E27" r:id="rId31" display="https://www.digikey.be/en/products/detail/sullins-connector-solutions/SBH11-PBPC-D13-ST-BK/1990066?s=N4IgTCBcDaIOQGUBCAJAjGgtABSdgwpgCJoDMmCAKpkgNIgC6AvkA" xr:uid="{E934C942-96AB-4952-98D7-0EC613AD9FDE}"/>
    <hyperlink ref="E26" r:id="rId32" display="https://www.digikey.be/en/products/detail/molex/0877583016/679668?s=N4IgTCBcDaIOQA4DsSCsCDMAGAjANhAF0BfIA" xr:uid="{D601A449-E92E-4D10-AAB8-C902D260ACC0}"/>
    <hyperlink ref="E25" r:id="rId33" display="https://be.farnell.com/en-BE/wurth-elektronik/61300311121/header-2-54mm-pin-tht-vertical/dp/2356154" xr:uid="{A22A4625-05CD-41D3-AE89-71052065ECE8}"/>
    <hyperlink ref="E23" r:id="rId34" display="https://be.farnell.com/en-BE/gct-global-connector-technology/usb4085-gf-a/usb-conn-2-0-type-c-r-a-rcpt-16pos/dp/2924867" xr:uid="{5725466B-03F7-4F45-9E5B-901A30565176}"/>
    <hyperlink ref="E22" r:id="rId35" display="https://be.farnell.com/en-BE/samtec/asp-134604-01/conn-vita-57-fmc-header-160pos/dp/2433507" xr:uid="{4425A980-1D54-4B88-B064-5159661A0F8D}"/>
    <hyperlink ref="E18" r:id="rId36" display="https://be.farnell.com/en-BE/kemet/c0805c102f3hacauto/cap-1000pf-25v-mlcc-0805/dp/3784231" xr:uid="{C28F9AE0-CE49-4757-9B5E-414C1B2F1633}"/>
    <hyperlink ref="E21" r:id="rId37" display="https://www.digikey.be/en/products/detail/murata-electronics/BLM21HE601SH1L/17184949?s=N4IgTCBcDaIOQCEAyBZMBGAEgUQGwAZ0BlTdJEAXQF8g" xr:uid="{04BEDB58-F022-4BD1-8784-8CF5DFFD685B}"/>
    <hyperlink ref="E17" r:id="rId38" display="https://www.digikey.be/en/products/detail/johanson-technology-inc/QSCT251Q120G1GV001E/1919438?s=N4IgTCBcDaIORgKwEYBKzEGVlgAwHEA1AFgFEQBdAXyA" xr:uid="{E8F145D4-2C01-4FE6-9F2B-C84A66BF242A}"/>
    <hyperlink ref="E16" r:id="rId39" display="https://www.digikey.be/en/products/detail/johanson-technology-inc/QSCT251Q270G1GV001E/1919491?s=N4IgTCBcDaIORgKwEYBKzEGUwHYAMA4gGoAsAoiALoC%2BQA" xr:uid="{393CC680-632D-4453-AD00-561D5A654557}"/>
    <hyperlink ref="E15" r:id="rId40" display="https://be.farnell.com/en-BE/kyocera-avx/0402yc104jat4a/capacitor-0-1uf-x7r-16v-0402/dp/4229428" xr:uid="{C87AA8D1-FF1C-493A-B859-DA1994A2D7A0}"/>
    <hyperlink ref="E12" r:id="rId41" display="https://www.digikey.be/en/products/detail/walsin-technology-corporation/0805B225K250CT/14836806?s=N4IgTCBcDaIOQAYAcCCsAhMZUGlsIGEAVEAXQF8g" xr:uid="{D817FED6-F32F-4144-8C67-04C6ACE2BCCF}"/>
    <hyperlink ref="E11" r:id="rId42" display="https://be.farnell.com/en-BE/kyocera-avx/08056d226kat2a/cap-22uf-6-3v-mlcc-0805/dp/3288994" xr:uid="{30D6B3D2-8FFD-46C3-8D25-2330F1B079F7}"/>
    <hyperlink ref="E10" r:id="rId43" display="https://www.digikey.be/en/products/detail/johanson-dielectrics-inc/TDCT160W104K1GV001T/1859428?s=N4IgTCBcDaIOQEYBsAGASggrAdQSgLANIBq%2BAKiALoC%2BQA" xr:uid="{C1B76F4D-5CB0-49C2-B56B-A9C75A813CB7}"/>
    <hyperlink ref="E9" r:id="rId44" display="https://be.farnell.com/en-BE/multicomp-pro/0805b105k160ct/cap-1-f-16v-10-x7r-0805/dp/2496946" xr:uid="{FD4D1D0E-58E4-468B-AAF2-1AE1E22B155B}"/>
    <hyperlink ref="E8" r:id="rId45" display="https://be.farnell.com/en-BE/multicomp-pro/0805b475k100ct/cap-4-7-f-10v-10-x7r-0805/dp/2496987" xr:uid="{78AE332A-685A-4C96-9070-FDAAA1509809}"/>
    <hyperlink ref="E6" r:id="rId46" display="https://be.farnell.com/en-BE/vishay/293d477x9010e2te3/cap-470-f-10v-10-2917/dp/2353079" xr:uid="{B977683D-63CD-453A-AF15-E6042D0680E6}"/>
    <hyperlink ref="E4" r:id="rId47" display="https://be.farnell.com/en-BE/kyocera-avx/08051a101jat2a/cap-100pf-100v-5-c0g-np0-0805/dp/499171" xr:uid="{2DE00AC5-3B29-4D6C-9890-702744187647}"/>
    <hyperlink ref="E73" r:id="rId48" display="https://www.digikey.be/en/products/detail/sitime/SIT1533AI-H4-DCC-32-768E/4898150?s=N4IgTCBcDaIOQGUCSAVAjAVgMxYIJIFoAJAFgIBEBhSgrMAOgHYA2ADgFEQBdAXyA" xr:uid="{EF2AD8D4-1AC3-4948-B40C-9CB54112BD4C}"/>
    <hyperlink ref="E72" r:id="rId49" display="https://be.farnell.com/en-BE/onsemi/nup4202w1t2g/diode-esd-protection-5v-sc-88/dp/2533281" xr:uid="{15263DD1-6870-419E-B69D-0FE534689AB2}"/>
    <hyperlink ref="E24" r:id="rId50" display="https://www.digikey.be/en/products/detail/aries-electronics/169-PRS13001-12/103002?s=N4IgTCBcDaIOQEYBsBOAtABQEoGUEGYAGQhNBCAXQF8g" xr:uid="{E3432228-FB01-4752-9AD8-2F31B47BF490}"/>
  </hyperlinks>
  <pageMargins left="0.7" right="0.7" top="0.75" bottom="0.75" header="0.3" footer="0.3"/>
  <pageSetup paperSize="9" orientation="portrait" r:id="rId5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2ed082-cf87-4838-8630-29c3e2e11dce" xsi:nil="true"/>
    <lcf76f155ced4ddcb4097134ff3c332f xmlns="1229006a-a56a-4130-b494-08615220f4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E71FF463958418134D51A2F16EC2D" ma:contentTypeVersion="15" ma:contentTypeDescription="Create a new document." ma:contentTypeScope="" ma:versionID="1b8d7192f36a898912a5e6aca40224e2">
  <xsd:schema xmlns:xsd="http://www.w3.org/2001/XMLSchema" xmlns:xs="http://www.w3.org/2001/XMLSchema" xmlns:p="http://schemas.microsoft.com/office/2006/metadata/properties" xmlns:ns2="1229006a-a56a-4130-b494-08615220f490" xmlns:ns3="fa2ed082-cf87-4838-8630-29c3e2e11dce" targetNamespace="http://schemas.microsoft.com/office/2006/metadata/properties" ma:root="true" ma:fieldsID="937282e3350d30396081e2c575937db8" ns2:_="" ns3:_="">
    <xsd:import namespace="1229006a-a56a-4130-b494-08615220f490"/>
    <xsd:import namespace="fa2ed082-cf87-4838-8630-29c3e2e11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9006a-a56a-4130-b494-08615220f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ed082-cf87-4838-8630-29c3e2e11dc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c80626-bc1f-48a1-a51d-de658586ba3d}" ma:internalName="TaxCatchAll" ma:showField="CatchAllData" ma:web="fa2ed082-cf87-4838-8630-29c3e2e11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C36BA-3984-4826-9A42-20AC7EC14C1D}">
  <ds:schemaRefs>
    <ds:schemaRef ds:uri="http://schemas.microsoft.com/office/2006/metadata/properties"/>
    <ds:schemaRef ds:uri="http://schemas.microsoft.com/office/infopath/2007/PartnerControls"/>
    <ds:schemaRef ds:uri="fa2ed082-cf87-4838-8630-29c3e2e11dce"/>
    <ds:schemaRef ds:uri="1229006a-a56a-4130-b494-08615220f490"/>
  </ds:schemaRefs>
</ds:datastoreItem>
</file>

<file path=customXml/itemProps2.xml><?xml version="1.0" encoding="utf-8"?>
<ds:datastoreItem xmlns:ds="http://schemas.openxmlformats.org/officeDocument/2006/customXml" ds:itemID="{80866B95-5413-480D-AC4B-27E581E6E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15202-0249-4F18-A3DC-4AF1D6667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9006a-a56a-4130-b494-08615220f490"/>
    <ds:schemaRef ds:uri="fa2ed082-cf87-4838-8630-29c3e2e11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lagd_pcb</vt:lpstr>
      <vt:lpstr>lagd_pcb!Print_Titles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Jiacong Sun</dc:creator>
  <cp:lastModifiedBy>Jiacong Sun</cp:lastModifiedBy>
  <dcterms:created xsi:type="dcterms:W3CDTF">2026-08-19T15:32:03Z</dcterms:created>
  <dcterms:modified xsi:type="dcterms:W3CDTF">2026-08-27T13:08:26Z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0x010100C7BE71FF463958418134D51A2F16EC2D</vt:lpwstr>
  </property>
  <property fmtid="{D5CDD505-2E9C-101B-9397-08002B2CF9AE}" pid="3" name="MediaServiceImageTags">
    <vt:lpwstr/>
  </property>
</Properties>
</file>